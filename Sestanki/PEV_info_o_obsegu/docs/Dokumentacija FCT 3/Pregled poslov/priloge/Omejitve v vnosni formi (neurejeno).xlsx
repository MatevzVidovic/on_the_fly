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lycomtech-my.sharepoint.com/personal/aznidarsic_flycom_si/Documents/Projekti/GURS/ISAM/Izvedba/Izobraževanja/posli/"/>
    </mc:Choice>
  </mc:AlternateContent>
  <xr:revisionPtr revIDLastSave="2" documentId="8_{CD38A7F8-0848-614B-995F-AF4AEB018EB3}" xr6:coauthVersionLast="47" xr6:coauthVersionMax="47" xr10:uidLastSave="{C6F2A86C-B9C7-3640-88BA-79D207F86E95}"/>
  <bookViews>
    <workbookView xWindow="0" yWindow="500" windowWidth="51200" windowHeight="28300" activeTab="1" xr2:uid="{00000000-000D-0000-FFFF-FFFF00000000}"/>
  </bookViews>
  <sheets>
    <sheet name="PROD_posel" sheetId="1" r:id="rId1"/>
    <sheet name="PROD_podposel" sheetId="3" r:id="rId2"/>
    <sheet name="List1" sheetId="11" r:id="rId3"/>
  </sheets>
  <definedNames>
    <definedName name="_xlnm._FilterDatabase" localSheetId="1" hidden="1">PROD_podposel!$A$1:$AH$49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D57" i="3"/>
  <c r="F57" i="3"/>
  <c r="H57" i="3"/>
  <c r="J57" i="3"/>
  <c r="L57" i="3"/>
  <c r="N57" i="3"/>
  <c r="P57" i="3"/>
  <c r="R57" i="3"/>
  <c r="T57" i="3"/>
  <c r="V57" i="3"/>
  <c r="X57" i="3"/>
  <c r="Z57" i="3"/>
  <c r="AB57" i="3"/>
  <c r="AD57" i="3"/>
  <c r="AF57" i="3"/>
  <c r="B5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tc={AC079038-7C0B-4F41-A1ED-E9705E5C2EDA}</author>
    <author>tc={4C1EF584-1C0B-AA4D-AB86-F37D1D0AA499}</author>
    <author>tc={B7F808A9-AFCF-4839-9AB6-B692994B1573}</author>
    <author>tc={AB34E881-5AF5-2F4D-971F-3F61044B4ACE}</author>
  </authors>
  <commentList>
    <comment ref="A2" authorId="0" shapeId="0" xr:uid="{AC079038-7C0B-4F41-A1ED-E9705E5C2E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Prikaz samo glede na model.</t>
      </text>
    </comment>
    <comment ref="A10" authorId="1" shapeId="0" xr:uid="{4C1EF584-1C0B-AA4D-AB86-F37D1D0AA499}">
      <text>
        <t>[Threaded comment]
Your version of Excel allows you to read this threaded comment; however, any edits to it will get removed if the file is opened in a newer version of Excel. Learn more: https://go.microsoft.com/fwlink/?linkid=870924
Comment:
    Zaenkrat omejen pogled samo na PPL.
Reply:
    Če pa jemišljeno, da se polje vidi samo za dej rabo 7 potem pa to lahko nastavimo.</t>
      </text>
    </comment>
    <comment ref="M38" authorId="2" shapeId="0" xr:uid="{B7F808A9-AFCF-4839-9AB6-B692994B1573}">
      <text>
        <t>[Threaded comment]
Your version of Excel allows you to read this threaded comment; however, any edits to it will get removed if the file is opened in a newer version of Excel. Learn more: https://go.microsoft.com/fwlink/?linkid=870924
Comment:
    Spremenjeno 8.10.</t>
      </text>
    </comment>
    <comment ref="C41" authorId="3" shapeId="0" xr:uid="{AB34E881-5AF5-2F4D-971F-3F61044B4ACE}">
      <text>
        <t>[Threaded comment]
Your version of Excel allows you to read this threaded comment; however, any edits to it will get removed if the file is opened in a newer version of Excel. Learn more: https://go.microsoft.com/fwlink/?linkid=870924
Comment:
    to je šifrant s štirimi vrednostmi</t>
      </text>
    </comment>
  </commentList>
</comments>
</file>

<file path=xl/sharedStrings.xml><?xml version="1.0" encoding="utf-8"?>
<sst xmlns="http://schemas.openxmlformats.org/spreadsheetml/2006/main" count="288" uniqueCount="141">
  <si>
    <t>ID posla</t>
  </si>
  <si>
    <t>STA</t>
  </si>
  <si>
    <t>HIS</t>
  </si>
  <si>
    <t>GAR</t>
  </si>
  <si>
    <t>PPL</t>
  </si>
  <si>
    <t>PPP</t>
  </si>
  <si>
    <t>TUR</t>
  </si>
  <si>
    <t>KDS</t>
  </si>
  <si>
    <t>SDP</t>
  </si>
  <si>
    <t>IND</t>
  </si>
  <si>
    <t>INP</t>
  </si>
  <si>
    <t>STZ</t>
  </si>
  <si>
    <t>KME</t>
  </si>
  <si>
    <t>GOZ</t>
  </si>
  <si>
    <t>Vrsta posla ETN</t>
  </si>
  <si>
    <t>Tržni segment</t>
  </si>
  <si>
    <t>Datum sklenitve pogodbe</t>
  </si>
  <si>
    <t>Pogodbena cena</t>
  </si>
  <si>
    <t>Efektivna cena</t>
  </si>
  <si>
    <t>Opomba ETN</t>
  </si>
  <si>
    <t>Opomba</t>
  </si>
  <si>
    <t>Modeli podposlov</t>
  </si>
  <si>
    <t>Vključen DDV/ stopnja</t>
  </si>
  <si>
    <t>Sestava posla</t>
  </si>
  <si>
    <t>Needitabilen podatek</t>
  </si>
  <si>
    <t>Editabilen podatek</t>
  </si>
  <si>
    <t>Model posla</t>
  </si>
  <si>
    <t>Vrsta posla</t>
  </si>
  <si>
    <t>Status pregleda</t>
  </si>
  <si>
    <t>PNB</t>
  </si>
  <si>
    <t>PNE</t>
  </si>
  <si>
    <t>PNP</t>
  </si>
  <si>
    <t>Prodaja deleža</t>
  </si>
  <si>
    <t>Osnova za odmero DPN</t>
  </si>
  <si>
    <t>Cena/m2</t>
  </si>
  <si>
    <t>Izmera</t>
  </si>
  <si>
    <r>
      <t xml:space="preserve">Kupec </t>
    </r>
    <r>
      <rPr>
        <sz val="11"/>
        <color theme="1"/>
        <rFont val="Calibri"/>
        <family val="2"/>
        <charset val="238"/>
        <scheme val="minor"/>
      </rPr>
      <t>(ime, priimek / naziv, naslov)</t>
    </r>
  </si>
  <si>
    <r>
      <t xml:space="preserve">Prodajalec </t>
    </r>
    <r>
      <rPr>
        <sz val="11"/>
        <color theme="1"/>
        <rFont val="Calibri"/>
        <family val="2"/>
        <charset val="238"/>
        <scheme val="minor"/>
      </rPr>
      <t>(ime, priimek / naziv, naslov)</t>
    </r>
  </si>
  <si>
    <t>šifrant</t>
  </si>
  <si>
    <t>vnosno okno</t>
  </si>
  <si>
    <t>0/1</t>
  </si>
  <si>
    <t>Legenda:</t>
  </si>
  <si>
    <t>vsi modeli</t>
  </si>
  <si>
    <t>da/ne</t>
  </si>
  <si>
    <t>id_posla</t>
  </si>
  <si>
    <t>id_podposla</t>
  </si>
  <si>
    <t>model_podposla</t>
  </si>
  <si>
    <t>podmodel_stz</t>
  </si>
  <si>
    <t>11 ZGS_HIS
12 ZGS_STA
13 ZGS_POS
14 ZGS_IND</t>
  </si>
  <si>
    <t>dovoljene vrednosti</t>
  </si>
  <si>
    <t>celoten šifrant</t>
  </si>
  <si>
    <t>naslov</t>
  </si>
  <si>
    <t>ko_stst_dst</t>
  </si>
  <si>
    <t>dej_raba_dst</t>
  </si>
  <si>
    <t>2,3,4</t>
  </si>
  <si>
    <t>8,9,24,25,49,50,51</t>
  </si>
  <si>
    <t>5,6,48</t>
  </si>
  <si>
    <t>13,27,28,29,31,33,34,35,36,37,38,39,40,45,55,56,57,58,59,60</t>
  </si>
  <si>
    <t>14,22,23,26,30,32,41,42,43,44,46</t>
  </si>
  <si>
    <t>18,20</t>
  </si>
  <si>
    <t>7,10,12,52,53</t>
  </si>
  <si>
    <t>17,21,54</t>
  </si>
  <si>
    <t>tip_stavbe</t>
  </si>
  <si>
    <t xml:space="preserve">upor_povr
</t>
  </si>
  <si>
    <t xml:space="preserve">neto_povr
</t>
  </si>
  <si>
    <t xml:space="preserve">nacin_neto_povr
</t>
  </si>
  <si>
    <t xml:space="preserve">prostor_vrsta
</t>
  </si>
  <si>
    <t xml:space="preserve">glej deli_stavb_dovoljene_vrednosti </t>
  </si>
  <si>
    <t>leto_izg</t>
  </si>
  <si>
    <t>1000&lt;leto_izg&gt;=letos</t>
  </si>
  <si>
    <t>&gt;0</t>
  </si>
  <si>
    <t>podr_raba_dst</t>
  </si>
  <si>
    <t>2,3,4,5</t>
  </si>
  <si>
    <t>16,17,18,19,20</t>
  </si>
  <si>
    <t>samo za podr_raba = 6</t>
  </si>
  <si>
    <t>zemlj_povr</t>
  </si>
  <si>
    <t>st_parcel (število parcel)</t>
  </si>
  <si>
    <t>zemlj_povr (celotno zemljišče)</t>
  </si>
  <si>
    <t>st_dst (število dst-jev)</t>
  </si>
  <si>
    <t>zps_dst</t>
  </si>
  <si>
    <t>samo za poseb_zgs=1</t>
  </si>
  <si>
    <t>zemlj_vv_povr</t>
  </si>
  <si>
    <t>cena_zemlj_vv_m2</t>
  </si>
  <si>
    <t>leto_obn_strehe</t>
  </si>
  <si>
    <t>leto_obn_fasade</t>
  </si>
  <si>
    <t>leto_obn_oken</t>
  </si>
  <si>
    <t>leto_obn_inst</t>
  </si>
  <si>
    <t>id_lega</t>
  </si>
  <si>
    <t>1 Klet
2 Pritličje
3 Nadstropje</t>
  </si>
  <si>
    <t>gost_vrt_v_ceni</t>
  </si>
  <si>
    <t>nadstropje</t>
  </si>
  <si>
    <t>številska vr.</t>
  </si>
  <si>
    <t>1 Podpovprečna
2 Povprečna
3 Nadpovprečna</t>
  </si>
  <si>
    <t>kakovost_dst</t>
  </si>
  <si>
    <t>atr_povr</t>
  </si>
  <si>
    <t>st_stanovanj</t>
  </si>
  <si>
    <t>st_etaz</t>
  </si>
  <si>
    <t>grad_faza</t>
  </si>
  <si>
    <t>1,2,3,31,4,5,10</t>
  </si>
  <si>
    <t>id_konstrukcije</t>
  </si>
  <si>
    <t>1,2,3,4,5,6,7,8</t>
  </si>
  <si>
    <t>id_vodovod</t>
  </si>
  <si>
    <t>id_elektrika</t>
  </si>
  <si>
    <t>id_kanalizacija</t>
  </si>
  <si>
    <t>id_plin</t>
  </si>
  <si>
    <t>id_dvigalo</t>
  </si>
  <si>
    <t>neto_prost</t>
  </si>
  <si>
    <t>visina_etaze_rzd</t>
  </si>
  <si>
    <t>1,2,3,4,5</t>
  </si>
  <si>
    <t>vrsta_nasada</t>
  </si>
  <si>
    <t>NULL, 13,15,16,11,17</t>
  </si>
  <si>
    <t>rk</t>
  </si>
  <si>
    <t>odprtost</t>
  </si>
  <si>
    <t>pov_nakl_parc</t>
  </si>
  <si>
    <t>boniteta</t>
  </si>
  <si>
    <t>vrednost</t>
  </si>
  <si>
    <t>posebnost_zgs</t>
  </si>
  <si>
    <t>samo za podmodel_stz=zgs…</t>
  </si>
  <si>
    <t>primerno_zgs</t>
  </si>
  <si>
    <t>1,2,3</t>
  </si>
  <si>
    <t>kakovost_mikrolok</t>
  </si>
  <si>
    <t>gl_podposel</t>
  </si>
  <si>
    <t>izmera</t>
  </si>
  <si>
    <t>delez_vrednosti</t>
  </si>
  <si>
    <t>neto_povr</t>
  </si>
  <si>
    <t>upor_povr</t>
  </si>
  <si>
    <t>zemlj_povr za podmodel_stz=stz…
zemlj_vv_povr za podmodel_stz=zgs…</t>
  </si>
  <si>
    <t>cena_m2</t>
  </si>
  <si>
    <t>ef_cena/izmera</t>
  </si>
  <si>
    <r>
      <t xml:space="preserve">prostor_povr
</t>
    </r>
    <r>
      <rPr>
        <strike/>
        <sz val="10"/>
        <color rgb="FFFF0000"/>
        <rFont val="Arial"/>
        <family val="2"/>
        <charset val="238"/>
      </rPr>
      <t xml:space="preserve">
</t>
    </r>
  </si>
  <si>
    <t>samo za podr_raba_dst=10</t>
  </si>
  <si>
    <t>tekst rdeče barve</t>
  </si>
  <si>
    <t>samo za dej_raba_dst=7
0 - vrt ne obstaja
1 - vrt ni vključen v ceno
2 - vrt je vključen v ceno</t>
  </si>
  <si>
    <t>obvezen podatek, če je gost_vrt_v_ceni=1,2</t>
  </si>
  <si>
    <t>pri dovoljene vr. Naveden način izračuna</t>
  </si>
  <si>
    <t>atribut je obvezen</t>
  </si>
  <si>
    <t>se prikazuje v FEATURE PANEL</t>
  </si>
  <si>
    <t>se ne prikazuje v FEATURE PANEL</t>
  </si>
  <si>
    <t>za dej_raba_dst=5: 6,7,8,9,11
za dej_raba_dst=6: 10,12,13</t>
  </si>
  <si>
    <t>Opomba primož: Atribut lahko naredimo obvezen samo za vse zapise</t>
  </si>
  <si>
    <t>cena_sta_m2_neto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</si>
</sst>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0"/>
      <name val="Arial"/>
      <family val="2"/>
      <charset val="238"/>
    </font>
    <font>
      <strike/>
      <sz val="10"/>
      <color rgb="FFFF0000"/>
      <name val="Arial"/>
      <family val="2"/>
      <charset val="238"/>
    </font>
    <font>
      <u/>
      <sz val="10"/>
      <color theme="10"/>
      <name val="Arial"/>
      <family val="2"/>
    </font>
    <font>
      <b/>
      <sz val="11"/>
      <color rgb="FFFF0000"/>
      <name val="Calibri"/>
      <family val="2"/>
      <charset val="238"/>
      <scheme val="minor"/>
    </font>
    <font>
      <i/>
      <sz val="11"/>
      <color rgb="FFFF0000"/>
      <name val="Calibri"/>
      <family val="2"/>
      <charset val="238"/>
      <scheme val="minor"/>
    </font>
    <font>
      <b/>
      <strike/>
      <sz val="11"/>
      <name val="Calibri"/>
      <family val="2"/>
      <charset val="238"/>
      <scheme val="minor"/>
    </font>
    <font>
      <strike/>
      <sz val="11"/>
      <color theme="1"/>
      <name val="Calibri"/>
      <family val="2"/>
      <charset val="238"/>
      <scheme val="minor"/>
    </font>
    <font>
      <strike/>
      <sz val="11"/>
      <name val="Calibri"/>
      <family val="2"/>
      <charset val="238"/>
      <scheme val="minor"/>
    </font>
    <font>
      <strike/>
      <sz val="11"/>
      <color rgb="FFFF0000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74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 applyNumberForma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/>
    <xf numFmtId="0" fontId="0" fillId="2" borderId="6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8" xfId="0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8" xfId="0" applyFont="1" applyBorder="1"/>
    <xf numFmtId="0" fontId="1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2" borderId="2" xfId="0" applyFill="1" applyBorder="1"/>
    <xf numFmtId="0" fontId="0" fillId="0" borderId="19" xfId="0" applyBorder="1"/>
    <xf numFmtId="0" fontId="0" fillId="0" borderId="20" xfId="0" applyBorder="1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1" fillId="0" borderId="8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wrapText="1"/>
    </xf>
    <xf numFmtId="0" fontId="0" fillId="2" borderId="2" xfId="0" applyFill="1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49" fontId="0" fillId="0" borderId="1" xfId="0" applyNumberFormat="1" applyBorder="1" applyAlignment="1">
      <alignment horizontal="center" wrapText="1"/>
    </xf>
    <xf numFmtId="49" fontId="0" fillId="2" borderId="1" xfId="0" applyNumberFormat="1" applyFill="1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3" borderId="1" xfId="0" applyNumberFormat="1" applyFill="1" applyBorder="1" applyAlignment="1">
      <alignment horizontal="center" wrapText="1"/>
    </xf>
    <xf numFmtId="49" fontId="1" fillId="0" borderId="3" xfId="0" applyNumberFormat="1" applyFont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49" fontId="0" fillId="4" borderId="1" xfId="0" applyNumberFormat="1" applyFill="1" applyBorder="1" applyAlignment="1">
      <alignment horizontal="center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0" xfId="0" applyFont="1"/>
    <xf numFmtId="49" fontId="2" fillId="2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center" wrapText="1"/>
    </xf>
    <xf numFmtId="49" fontId="12" fillId="2" borderId="1" xfId="0" applyNumberFormat="1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wrapText="1"/>
    </xf>
    <xf numFmtId="0" fontId="12" fillId="0" borderId="0" xfId="0" applyFont="1" applyAlignment="1">
      <alignment wrapText="1"/>
    </xf>
    <xf numFmtId="0" fontId="12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9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9" fillId="7" borderId="1" xfId="0" applyFont="1" applyFill="1" applyBorder="1" applyAlignment="1">
      <alignment vertical="top" wrapText="1"/>
    </xf>
    <xf numFmtId="0" fontId="5" fillId="0" borderId="13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13" fillId="0" borderId="13" xfId="0" applyFont="1" applyBorder="1" applyAlignment="1">
      <alignment horizontal="center" wrapText="1"/>
    </xf>
    <xf numFmtId="49" fontId="2" fillId="0" borderId="13" xfId="0" applyNumberFormat="1" applyFont="1" applyBorder="1" applyAlignment="1">
      <alignment horizontal="center" wrapText="1"/>
    </xf>
    <xf numFmtId="0" fontId="11" fillId="6" borderId="1" xfId="0" applyFont="1" applyFill="1" applyBorder="1" applyAlignment="1">
      <alignment vertical="top" wrapText="1"/>
    </xf>
    <xf numFmtId="0" fontId="3" fillId="6" borderId="13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74">
    <cellStyle name="Hyperlink" xfId="73" xr:uid="{00000000-0005-0000-0000-000000000000}"/>
    <cellStyle name="Navadno 2" xfId="2" xr:uid="{00000000-0005-0000-0000-000002000000}"/>
    <cellStyle name="Navadno 3" xfId="5" xr:uid="{00000000-0005-0000-0000-000003000000}"/>
    <cellStyle name="Navadno 3 2" xfId="7" xr:uid="{00000000-0005-0000-0000-000004000000}"/>
    <cellStyle name="Navadno 3 2 2" xfId="8" xr:uid="{00000000-0005-0000-0000-000005000000}"/>
    <cellStyle name="Navadno 3 2 2 2" xfId="9" xr:uid="{00000000-0005-0000-0000-000006000000}"/>
    <cellStyle name="Navadno 3 2 2 2 2" xfId="10" xr:uid="{00000000-0005-0000-0000-000007000000}"/>
    <cellStyle name="Navadno 3 2 2 2 2 2" xfId="16" xr:uid="{00000000-0005-0000-0000-000008000000}"/>
    <cellStyle name="Navadno 3 2 2 2 2 2 2" xfId="38" xr:uid="{00000000-0005-0000-0000-000009000000}"/>
    <cellStyle name="Navadno 3 2 2 2 2 2 2 2" xfId="40" xr:uid="{00000000-0005-0000-0000-00000A000000}"/>
    <cellStyle name="Navadno 3 2 2 2 2 2 3" xfId="27" xr:uid="{00000000-0005-0000-0000-00000B000000}"/>
    <cellStyle name="Navadno 3 2 2 2 2 2 3 2" xfId="41" xr:uid="{00000000-0005-0000-0000-00000C000000}"/>
    <cellStyle name="Navadno 3 2 2 2 2 2 4" xfId="42" xr:uid="{00000000-0005-0000-0000-00000D000000}"/>
    <cellStyle name="Navadno 3 2 2 2 2 3" xfId="33" xr:uid="{00000000-0005-0000-0000-00000E000000}"/>
    <cellStyle name="Navadno 3 2 2 2 2 3 2" xfId="43" xr:uid="{00000000-0005-0000-0000-00000F000000}"/>
    <cellStyle name="Navadno 3 2 2 2 2 4" xfId="22" xr:uid="{00000000-0005-0000-0000-000010000000}"/>
    <cellStyle name="Navadno 3 2 2 2 2 4 2" xfId="44" xr:uid="{00000000-0005-0000-0000-000011000000}"/>
    <cellStyle name="Navadno 3 2 2 2 2 5" xfId="45" xr:uid="{00000000-0005-0000-0000-000012000000}"/>
    <cellStyle name="Navadno 3 2 2 2 3" xfId="15" xr:uid="{00000000-0005-0000-0000-000013000000}"/>
    <cellStyle name="Navadno 3 2 2 2 3 2" xfId="37" xr:uid="{00000000-0005-0000-0000-000014000000}"/>
    <cellStyle name="Navadno 3 2 2 2 3 2 2" xfId="46" xr:uid="{00000000-0005-0000-0000-000015000000}"/>
    <cellStyle name="Navadno 3 2 2 2 3 3" xfId="26" xr:uid="{00000000-0005-0000-0000-000016000000}"/>
    <cellStyle name="Navadno 3 2 2 2 3 3 2" xfId="47" xr:uid="{00000000-0005-0000-0000-000017000000}"/>
    <cellStyle name="Navadno 3 2 2 2 3 4" xfId="48" xr:uid="{00000000-0005-0000-0000-000018000000}"/>
    <cellStyle name="Navadno 3 2 2 2 4" xfId="32" xr:uid="{00000000-0005-0000-0000-000019000000}"/>
    <cellStyle name="Navadno 3 2 2 2 4 2" xfId="49" xr:uid="{00000000-0005-0000-0000-00001A000000}"/>
    <cellStyle name="Navadno 3 2 2 2 5" xfId="21" xr:uid="{00000000-0005-0000-0000-00001B000000}"/>
    <cellStyle name="Navadno 3 2 2 2 5 2" xfId="50" xr:uid="{00000000-0005-0000-0000-00001C000000}"/>
    <cellStyle name="Navadno 3 2 2 2 6" xfId="51" xr:uid="{00000000-0005-0000-0000-00001D000000}"/>
    <cellStyle name="Navadno 3 2 2 3" xfId="14" xr:uid="{00000000-0005-0000-0000-00001E000000}"/>
    <cellStyle name="Navadno 3 2 2 3 2" xfId="36" xr:uid="{00000000-0005-0000-0000-00001F000000}"/>
    <cellStyle name="Navadno 3 2 2 3 2 2" xfId="52" xr:uid="{00000000-0005-0000-0000-000020000000}"/>
    <cellStyle name="Navadno 3 2 2 3 3" xfId="25" xr:uid="{00000000-0005-0000-0000-000021000000}"/>
    <cellStyle name="Navadno 3 2 2 3 3 2" xfId="53" xr:uid="{00000000-0005-0000-0000-000022000000}"/>
    <cellStyle name="Navadno 3 2 2 3 4" xfId="54" xr:uid="{00000000-0005-0000-0000-000023000000}"/>
    <cellStyle name="Navadno 3 2 2 4" xfId="31" xr:uid="{00000000-0005-0000-0000-000024000000}"/>
    <cellStyle name="Navadno 3 2 2 4 2" xfId="55" xr:uid="{00000000-0005-0000-0000-000025000000}"/>
    <cellStyle name="Navadno 3 2 2 5" xfId="20" xr:uid="{00000000-0005-0000-0000-000026000000}"/>
    <cellStyle name="Navadno 3 2 2 5 2" xfId="56" xr:uid="{00000000-0005-0000-0000-000027000000}"/>
    <cellStyle name="Navadno 3 2 2 6" xfId="57" xr:uid="{00000000-0005-0000-0000-000028000000}"/>
    <cellStyle name="Navadno 3 2 3" xfId="13" xr:uid="{00000000-0005-0000-0000-000029000000}"/>
    <cellStyle name="Navadno 3 2 3 2" xfId="35" xr:uid="{00000000-0005-0000-0000-00002A000000}"/>
    <cellStyle name="Navadno 3 2 3 2 2" xfId="58" xr:uid="{00000000-0005-0000-0000-00002B000000}"/>
    <cellStyle name="Navadno 3 2 3 3" xfId="24" xr:uid="{00000000-0005-0000-0000-00002C000000}"/>
    <cellStyle name="Navadno 3 2 3 3 2" xfId="59" xr:uid="{00000000-0005-0000-0000-00002D000000}"/>
    <cellStyle name="Navadno 3 2 3 4" xfId="60" xr:uid="{00000000-0005-0000-0000-00002E000000}"/>
    <cellStyle name="Navadno 3 2 4" xfId="30" xr:uid="{00000000-0005-0000-0000-00002F000000}"/>
    <cellStyle name="Navadno 3 2 4 2" xfId="61" xr:uid="{00000000-0005-0000-0000-000030000000}"/>
    <cellStyle name="Navadno 3 2 5" xfId="19" xr:uid="{00000000-0005-0000-0000-000031000000}"/>
    <cellStyle name="Navadno 3 2 5 2" xfId="62" xr:uid="{00000000-0005-0000-0000-000032000000}"/>
    <cellStyle name="Navadno 3 2 6" xfId="63" xr:uid="{00000000-0005-0000-0000-000033000000}"/>
    <cellStyle name="Navadno 3 3" xfId="12" xr:uid="{00000000-0005-0000-0000-000034000000}"/>
    <cellStyle name="Navadno 3 3 2" xfId="34" xr:uid="{00000000-0005-0000-0000-000035000000}"/>
    <cellStyle name="Navadno 3 3 2 2" xfId="64" xr:uid="{00000000-0005-0000-0000-000036000000}"/>
    <cellStyle name="Navadno 3 3 3" xfId="23" xr:uid="{00000000-0005-0000-0000-000037000000}"/>
    <cellStyle name="Navadno 3 3 3 2" xfId="65" xr:uid="{00000000-0005-0000-0000-000038000000}"/>
    <cellStyle name="Navadno 3 3 4" xfId="66" xr:uid="{00000000-0005-0000-0000-000039000000}"/>
    <cellStyle name="Navadno 3 4" xfId="29" xr:uid="{00000000-0005-0000-0000-00003A000000}"/>
    <cellStyle name="Navadno 3 4 2" xfId="67" xr:uid="{00000000-0005-0000-0000-00003B000000}"/>
    <cellStyle name="Navadno 3 5" xfId="18" xr:uid="{00000000-0005-0000-0000-00003C000000}"/>
    <cellStyle name="Navadno 3 5 2" xfId="68" xr:uid="{00000000-0005-0000-0000-00003D000000}"/>
    <cellStyle name="Navadno 3 6" xfId="69" xr:uid="{00000000-0005-0000-0000-00003E000000}"/>
    <cellStyle name="Navadno 4" xfId="3" xr:uid="{00000000-0005-0000-0000-00003F000000}"/>
    <cellStyle name="Navadno 4 2" xfId="6" xr:uid="{00000000-0005-0000-0000-000040000000}"/>
    <cellStyle name="Navadno 5" xfId="4" xr:uid="{00000000-0005-0000-0000-000041000000}"/>
    <cellStyle name="Navadno 5 2" xfId="11" xr:uid="{00000000-0005-0000-0000-000042000000}"/>
    <cellStyle name="Navadno 6" xfId="17" xr:uid="{00000000-0005-0000-0000-000043000000}"/>
    <cellStyle name="Navadno 6 2" xfId="39" xr:uid="{00000000-0005-0000-0000-000044000000}"/>
    <cellStyle name="Navadno 6 2 2" xfId="70" xr:uid="{00000000-0005-0000-0000-000045000000}"/>
    <cellStyle name="Navadno 6 3" xfId="28" xr:uid="{00000000-0005-0000-0000-000046000000}"/>
    <cellStyle name="Navadno 6 3 2" xfId="71" xr:uid="{00000000-0005-0000-0000-000047000000}"/>
    <cellStyle name="Navadno 6 4" xfId="72" xr:uid="{00000000-0005-0000-0000-000048000000}"/>
    <cellStyle name="Navadno 7" xfId="1" xr:uid="{00000000-0005-0000-0000-000049000000}"/>
    <cellStyle name="Normal" xfId="0" builtinId="0"/>
  </cellStyles>
  <dxfs count="0"/>
  <tableStyles count="0" defaultTableStyle="TableStyleMedium2" defaultPivotStyle="PivotStyleLight16"/>
  <colors>
    <mruColors>
      <color rgb="FFBDFFBD"/>
      <color rgb="FFFFFF99"/>
      <color rgb="FFDCF0C6"/>
      <color rgb="FFD9FFFF"/>
      <color rgb="FFE4EFF8"/>
      <color rgb="FFEFF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imoz Skledar" id="{5DBCECB6-577F-354A-BA1C-92DE3C14B6E1}" userId="S::pskledar@flycom.si::3e4af9ba-185d-4af0-878e-8e653774361e" providerId="AD"/>
  <person displayName="Darija Modrijan" id="{647C67FA-3F55-44C7-B71F-41F03F376250}" userId="S::Darija.Modrijan@gov.si::a0592145-aaf1-4106-8602-c23c06ffdc8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5-10-10T09:42:58.31" personId="{5DBCECB6-577F-354A-BA1C-92DE3C14B6E1}" id="{AC079038-7C0B-4F41-A1ED-E9705E5C2EDA}">
    <text>Prikaz samo glede na model.</text>
  </threadedComment>
  <threadedComment ref="A10" dT="2025-10-10T09:03:11.62" personId="{5DBCECB6-577F-354A-BA1C-92DE3C14B6E1}" id="{4C1EF584-1C0B-AA4D-AB86-F37D1D0AA499}">
    <text>Zaenkrat omejen pogled samo na PPL.</text>
  </threadedComment>
  <threadedComment ref="A10" dT="2026-01-06T09:56:29.64" personId="{5DBCECB6-577F-354A-BA1C-92DE3C14B6E1}" id="{4106199E-6DA5-7C4A-9754-B0BDA21CA3DF}" parentId="{4C1EF584-1C0B-AA4D-AB86-F37D1D0AA499}">
    <text>Če pa jemišljeno, da se polje vidi samo za dej rabo 7 potem pa to lahko nastavimo.</text>
  </threadedComment>
  <threadedComment ref="M38" dT="2025-10-08T07:27:45.54" personId="{647C67FA-3F55-44C7-B71F-41F03F376250}" id="{B7F808A9-AFCF-4839-9AB6-B692994B1573}">
    <text>Spremenjeno 8.10.</text>
  </threadedComment>
  <threadedComment ref="C41" dT="2025-10-10T09:25:39.34" personId="{5DBCECB6-577F-354A-BA1C-92DE3C14B6E1}" id="{AB34E881-5AF5-2F4D-971F-3F61044B4ACE}">
    <text>to je šifrant s štirimi vrednostmi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9" sqref="E19"/>
    </sheetView>
  </sheetViews>
  <sheetFormatPr baseColWidth="10" defaultColWidth="8.83203125" defaultRowHeight="15" x14ac:dyDescent="0.2"/>
  <cols>
    <col min="1" max="1" width="27.6640625" customWidth="1"/>
    <col min="2" max="2" width="10.1640625" style="1" bestFit="1" customWidth="1"/>
    <col min="3" max="3" width="10.5" customWidth="1"/>
  </cols>
  <sheetData>
    <row r="1" spans="1:3" ht="16" thickBot="1" x14ac:dyDescent="0.25">
      <c r="A1" s="8"/>
      <c r="B1" s="13" t="s">
        <v>42</v>
      </c>
    </row>
    <row r="2" spans="1:3" ht="16" x14ac:dyDescent="0.2">
      <c r="A2" s="9" t="s">
        <v>0</v>
      </c>
      <c r="B2" s="6">
        <v>1</v>
      </c>
    </row>
    <row r="3" spans="1:3" ht="32" x14ac:dyDescent="0.2">
      <c r="A3" s="9" t="s">
        <v>37</v>
      </c>
      <c r="B3" s="6">
        <v>1</v>
      </c>
    </row>
    <row r="4" spans="1:3" ht="32" x14ac:dyDescent="0.2">
      <c r="A4" s="9" t="s">
        <v>36</v>
      </c>
      <c r="B4" s="6">
        <v>1</v>
      </c>
    </row>
    <row r="5" spans="1:3" ht="16" x14ac:dyDescent="0.2">
      <c r="A5" s="10" t="s">
        <v>26</v>
      </c>
      <c r="B5" s="2">
        <v>1</v>
      </c>
    </row>
    <row r="6" spans="1:3" ht="16" x14ac:dyDescent="0.2">
      <c r="A6" s="10" t="s">
        <v>21</v>
      </c>
      <c r="B6" s="4">
        <v>1</v>
      </c>
    </row>
    <row r="7" spans="1:3" ht="16" x14ac:dyDescent="0.2">
      <c r="A7" s="10" t="s">
        <v>23</v>
      </c>
      <c r="B7" s="2">
        <v>1</v>
      </c>
      <c r="C7" t="s">
        <v>38</v>
      </c>
    </row>
    <row r="8" spans="1:3" ht="16" x14ac:dyDescent="0.2">
      <c r="A8" s="10" t="s">
        <v>35</v>
      </c>
      <c r="B8" s="4">
        <v>1</v>
      </c>
    </row>
    <row r="9" spans="1:3" ht="16" x14ac:dyDescent="0.2">
      <c r="A9" s="10" t="s">
        <v>34</v>
      </c>
      <c r="B9" s="4">
        <v>1</v>
      </c>
    </row>
    <row r="10" spans="1:3" ht="16" x14ac:dyDescent="0.2">
      <c r="A10" s="10" t="s">
        <v>32</v>
      </c>
      <c r="B10" s="4">
        <v>1</v>
      </c>
    </row>
    <row r="11" spans="1:3" ht="16" x14ac:dyDescent="0.2">
      <c r="A11" s="10" t="s">
        <v>14</v>
      </c>
      <c r="B11" s="2">
        <v>1</v>
      </c>
      <c r="C11" t="s">
        <v>38</v>
      </c>
    </row>
    <row r="12" spans="1:3" ht="16" x14ac:dyDescent="0.2">
      <c r="A12" s="10" t="s">
        <v>15</v>
      </c>
      <c r="B12" s="2">
        <v>1</v>
      </c>
      <c r="C12" t="s">
        <v>38</v>
      </c>
    </row>
    <row r="13" spans="1:3" ht="16" x14ac:dyDescent="0.2">
      <c r="A13" s="10" t="s">
        <v>16</v>
      </c>
      <c r="B13" s="4">
        <v>1</v>
      </c>
    </row>
    <row r="14" spans="1:3" ht="16" x14ac:dyDescent="0.2">
      <c r="A14" s="10" t="s">
        <v>17</v>
      </c>
      <c r="B14" s="2">
        <v>1</v>
      </c>
      <c r="C14" t="s">
        <v>39</v>
      </c>
    </row>
    <row r="15" spans="1:3" ht="16" x14ac:dyDescent="0.2">
      <c r="A15" s="10" t="s">
        <v>33</v>
      </c>
      <c r="B15" s="4">
        <v>1</v>
      </c>
    </row>
    <row r="16" spans="1:3" ht="16" x14ac:dyDescent="0.2">
      <c r="A16" s="10" t="s">
        <v>18</v>
      </c>
      <c r="B16" s="14">
        <v>1</v>
      </c>
    </row>
    <row r="17" spans="1:3" ht="16" x14ac:dyDescent="0.2">
      <c r="A17" s="10" t="s">
        <v>22</v>
      </c>
      <c r="B17" s="2">
        <v>1</v>
      </c>
      <c r="C17" t="s">
        <v>38</v>
      </c>
    </row>
    <row r="18" spans="1:3" ht="16" x14ac:dyDescent="0.2">
      <c r="A18" s="10" t="s">
        <v>19</v>
      </c>
      <c r="B18" s="4">
        <v>1</v>
      </c>
    </row>
    <row r="19" spans="1:3" ht="16" x14ac:dyDescent="0.2">
      <c r="A19" s="10" t="s">
        <v>27</v>
      </c>
      <c r="B19" s="2">
        <v>1</v>
      </c>
      <c r="C19" t="s">
        <v>38</v>
      </c>
    </row>
    <row r="20" spans="1:3" ht="16" x14ac:dyDescent="0.2">
      <c r="A20" s="10" t="s">
        <v>28</v>
      </c>
      <c r="B20" s="2">
        <v>1</v>
      </c>
      <c r="C20" t="s">
        <v>38</v>
      </c>
    </row>
    <row r="21" spans="1:3" ht="17" thickBot="1" x14ac:dyDescent="0.25">
      <c r="A21" s="11" t="s">
        <v>20</v>
      </c>
      <c r="B21" s="5">
        <v>1</v>
      </c>
      <c r="C21" t="s">
        <v>39</v>
      </c>
    </row>
    <row r="22" spans="1:3" ht="16" thickBot="1" x14ac:dyDescent="0.25">
      <c r="A22" s="12"/>
      <c r="B22" s="7">
        <f>SUM(B2:B21)</f>
        <v>20</v>
      </c>
    </row>
    <row r="26" spans="1:3" ht="16" thickBot="1" x14ac:dyDescent="0.25"/>
    <row r="27" spans="1:3" x14ac:dyDescent="0.2">
      <c r="A27" s="15" t="s">
        <v>41</v>
      </c>
      <c r="B27" s="16"/>
    </row>
    <row r="28" spans="1:3" x14ac:dyDescent="0.2">
      <c r="A28" s="17" t="s">
        <v>24</v>
      </c>
      <c r="B28" s="18">
        <v>1</v>
      </c>
    </row>
    <row r="29" spans="1:3" ht="16" thickBot="1" x14ac:dyDescent="0.25">
      <c r="A29" s="19" t="s">
        <v>25</v>
      </c>
      <c r="B29" s="2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6"/>
  <sheetViews>
    <sheetView tabSelected="1"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3" sqref="E13"/>
    </sheetView>
  </sheetViews>
  <sheetFormatPr baseColWidth="10" defaultColWidth="8.83203125" defaultRowHeight="15" x14ac:dyDescent="0.2"/>
  <cols>
    <col min="1" max="1" width="39.5" style="22" customWidth="1"/>
    <col min="2" max="2" width="8.6640625" style="30" customWidth="1"/>
    <col min="3" max="3" width="15.5" style="30" customWidth="1"/>
    <col min="4" max="4" width="8.6640625" style="30" customWidth="1"/>
    <col min="5" max="5" width="14.33203125" style="30" customWidth="1"/>
    <col min="6" max="6" width="8.6640625" style="30" customWidth="1"/>
    <col min="7" max="7" width="10.5" style="30" customWidth="1"/>
    <col min="8" max="8" width="9.1640625" style="30" customWidth="1"/>
    <col min="9" max="9" width="26.6640625" style="30" customWidth="1"/>
    <col min="10" max="10" width="8.6640625" style="30" customWidth="1"/>
    <col min="11" max="11" width="15.5" style="30" customWidth="1"/>
    <col min="12" max="12" width="8.6640625" style="30" customWidth="1"/>
    <col min="13" max="13" width="17.33203125" style="30" customWidth="1"/>
    <col min="14" max="14" width="8.6640625" style="30" customWidth="1"/>
    <col min="15" max="15" width="16.83203125" style="30" bestFit="1" customWidth="1"/>
    <col min="16" max="16" width="8.6640625" style="30" customWidth="1"/>
    <col min="17" max="17" width="15.5" style="30" bestFit="1" customWidth="1"/>
    <col min="18" max="18" width="8.6640625" style="30" customWidth="1"/>
    <col min="19" max="19" width="14.6640625" style="30" customWidth="1"/>
    <col min="20" max="20" width="8.5" style="30" customWidth="1"/>
    <col min="21" max="21" width="15.33203125" style="39" bestFit="1" customWidth="1"/>
    <col min="22" max="22" width="8.6640625" style="30" customWidth="1"/>
    <col min="23" max="23" width="14.33203125" style="30" customWidth="1"/>
    <col min="24" max="24" width="8.6640625" style="30" customWidth="1"/>
    <col min="25" max="25" width="14.5" style="30" customWidth="1"/>
    <col min="26" max="26" width="8.6640625" style="30" customWidth="1"/>
    <col min="27" max="27" width="14.5" style="30" bestFit="1" customWidth="1"/>
    <col min="28" max="28" width="8.6640625" style="55" customWidth="1"/>
    <col min="29" max="29" width="29.5" style="55" customWidth="1"/>
    <col min="30" max="30" width="8.6640625" style="55" customWidth="1"/>
    <col min="31" max="31" width="15.83203125" style="55" customWidth="1"/>
    <col min="32" max="32" width="8.6640625" style="55" customWidth="1"/>
    <col min="33" max="33" width="14.1640625" style="55" customWidth="1"/>
    <col min="34" max="34" width="17.6640625" style="22" customWidth="1"/>
    <col min="35" max="35" width="10.6640625" style="22" customWidth="1"/>
    <col min="36" max="46" width="10.6640625" customWidth="1"/>
    <col min="47" max="47" width="11.1640625" customWidth="1"/>
    <col min="48" max="55" width="10.6640625" customWidth="1"/>
    <col min="56" max="56" width="11.5" customWidth="1"/>
    <col min="57" max="62" width="10.6640625" customWidth="1"/>
    <col min="63" max="63" width="12.1640625" customWidth="1"/>
    <col min="64" max="65" width="10.6640625" customWidth="1"/>
    <col min="66" max="66" width="11.6640625" customWidth="1"/>
    <col min="67" max="67" width="10.6640625" customWidth="1"/>
  </cols>
  <sheetData>
    <row r="1" spans="1:35" ht="32" x14ac:dyDescent="0.2">
      <c r="A1" s="44"/>
      <c r="B1" s="45" t="s">
        <v>2</v>
      </c>
      <c r="C1" s="45" t="s">
        <v>49</v>
      </c>
      <c r="D1" s="45" t="s">
        <v>1</v>
      </c>
      <c r="E1" s="45" t="s">
        <v>49</v>
      </c>
      <c r="F1" s="45" t="s">
        <v>3</v>
      </c>
      <c r="G1" s="45" t="s">
        <v>49</v>
      </c>
      <c r="H1" s="45" t="s">
        <v>4</v>
      </c>
      <c r="I1" s="45" t="s">
        <v>49</v>
      </c>
      <c r="J1" s="45" t="s">
        <v>5</v>
      </c>
      <c r="K1" s="45" t="s">
        <v>49</v>
      </c>
      <c r="L1" s="45" t="s">
        <v>6</v>
      </c>
      <c r="M1" s="45" t="s">
        <v>49</v>
      </c>
      <c r="N1" s="45" t="s">
        <v>7</v>
      </c>
      <c r="O1" s="45" t="s">
        <v>49</v>
      </c>
      <c r="P1" s="45" t="s">
        <v>8</v>
      </c>
      <c r="Q1" s="45" t="s">
        <v>49</v>
      </c>
      <c r="R1" s="45" t="s">
        <v>9</v>
      </c>
      <c r="S1" s="45" t="s">
        <v>49</v>
      </c>
      <c r="T1" s="45" t="s">
        <v>10</v>
      </c>
      <c r="U1" s="45" t="s">
        <v>49</v>
      </c>
      <c r="V1" s="45" t="s">
        <v>29</v>
      </c>
      <c r="W1" s="45" t="s">
        <v>49</v>
      </c>
      <c r="X1" s="45" t="s">
        <v>30</v>
      </c>
      <c r="Y1" s="45" t="s">
        <v>49</v>
      </c>
      <c r="Z1" s="45" t="s">
        <v>31</v>
      </c>
      <c r="AA1" s="45" t="s">
        <v>49</v>
      </c>
      <c r="AB1" s="47" t="s">
        <v>11</v>
      </c>
      <c r="AC1" s="47" t="s">
        <v>49</v>
      </c>
      <c r="AD1" s="47" t="s">
        <v>12</v>
      </c>
      <c r="AE1" s="45" t="s">
        <v>49</v>
      </c>
      <c r="AF1" s="47" t="s">
        <v>13</v>
      </c>
      <c r="AG1" s="45" t="s">
        <v>49</v>
      </c>
    </row>
    <row r="2" spans="1:35" ht="32" x14ac:dyDescent="0.2">
      <c r="A2" s="85" t="s">
        <v>94</v>
      </c>
      <c r="B2" s="23"/>
      <c r="C2" s="23"/>
      <c r="D2" s="23">
        <v>1</v>
      </c>
      <c r="E2" s="23"/>
      <c r="F2" s="23"/>
      <c r="G2" s="23"/>
      <c r="H2" s="56">
        <v>1</v>
      </c>
      <c r="I2" s="76" t="s">
        <v>133</v>
      </c>
      <c r="J2" s="23"/>
      <c r="K2" s="23"/>
      <c r="L2" s="23">
        <v>1</v>
      </c>
      <c r="M2" s="77" t="s">
        <v>130</v>
      </c>
      <c r="N2" s="23"/>
      <c r="O2" s="23"/>
      <c r="P2" s="23"/>
      <c r="Q2" s="23"/>
      <c r="R2" s="23"/>
      <c r="S2" s="23"/>
      <c r="T2" s="23"/>
      <c r="U2" s="37"/>
      <c r="V2" s="23"/>
      <c r="W2" s="23"/>
      <c r="X2" s="23"/>
      <c r="Y2" s="23"/>
      <c r="Z2" s="23"/>
      <c r="AA2" s="23"/>
      <c r="AB2" s="46"/>
      <c r="AC2" s="46"/>
      <c r="AD2" s="46"/>
      <c r="AE2" s="46"/>
      <c r="AF2" s="46"/>
      <c r="AG2" s="46"/>
      <c r="AH2" s="22" t="s">
        <v>39</v>
      </c>
    </row>
    <row r="3" spans="1:35" ht="16" x14ac:dyDescent="0.2">
      <c r="A3" s="75" t="s">
        <v>114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40"/>
      <c r="V3" s="25"/>
      <c r="W3" s="25"/>
      <c r="X3" s="25"/>
      <c r="Y3" s="25"/>
      <c r="Z3" s="25"/>
      <c r="AA3" s="25"/>
      <c r="AB3" s="50"/>
      <c r="AC3" s="50"/>
      <c r="AD3" s="25">
        <v>1</v>
      </c>
      <c r="AE3" s="50"/>
      <c r="AF3" s="25">
        <v>1</v>
      </c>
      <c r="AG3" s="50"/>
    </row>
    <row r="4" spans="1:35" s="59" customFormat="1" ht="16" x14ac:dyDescent="0.2">
      <c r="A4" s="75" t="s">
        <v>127</v>
      </c>
      <c r="B4" s="25">
        <v>1</v>
      </c>
      <c r="C4" s="25"/>
      <c r="D4" s="25">
        <v>1</v>
      </c>
      <c r="E4" s="25"/>
      <c r="F4" s="25">
        <v>1</v>
      </c>
      <c r="G4" s="25"/>
      <c r="H4" s="25">
        <v>1</v>
      </c>
      <c r="I4" s="25"/>
      <c r="J4" s="25">
        <v>1</v>
      </c>
      <c r="K4" s="25" t="s">
        <v>128</v>
      </c>
      <c r="L4" s="25">
        <v>1</v>
      </c>
      <c r="M4" s="25" t="s">
        <v>128</v>
      </c>
      <c r="N4" s="25">
        <v>1</v>
      </c>
      <c r="O4" s="25" t="s">
        <v>128</v>
      </c>
      <c r="P4" s="25">
        <v>1</v>
      </c>
      <c r="Q4" s="25" t="s">
        <v>128</v>
      </c>
      <c r="R4" s="25">
        <v>1</v>
      </c>
      <c r="S4" s="25" t="s">
        <v>128</v>
      </c>
      <c r="T4" s="25">
        <v>1</v>
      </c>
      <c r="U4" s="25" t="s">
        <v>128</v>
      </c>
      <c r="V4" s="25">
        <v>1</v>
      </c>
      <c r="W4" s="25" t="s">
        <v>128</v>
      </c>
      <c r="X4" s="25">
        <v>1</v>
      </c>
      <c r="Y4" s="25" t="s">
        <v>128</v>
      </c>
      <c r="Z4" s="25">
        <v>1</v>
      </c>
      <c r="AA4" s="25" t="s">
        <v>128</v>
      </c>
      <c r="AB4" s="50">
        <v>1</v>
      </c>
      <c r="AC4" s="50" t="s">
        <v>128</v>
      </c>
      <c r="AD4" s="50">
        <v>1</v>
      </c>
      <c r="AE4" s="50" t="s">
        <v>128</v>
      </c>
      <c r="AF4" s="50">
        <v>1</v>
      </c>
      <c r="AG4" s="50" t="s">
        <v>128</v>
      </c>
      <c r="AH4" s="22"/>
      <c r="AI4" s="58"/>
    </row>
    <row r="5" spans="1:35" s="59" customFormat="1" ht="16" x14ac:dyDescent="0.2">
      <c r="A5" s="75" t="s">
        <v>140</v>
      </c>
      <c r="B5" s="24"/>
      <c r="C5" s="24"/>
      <c r="D5" s="24">
        <v>1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38"/>
      <c r="V5" s="24"/>
      <c r="W5" s="24"/>
      <c r="X5" s="24"/>
      <c r="Y5" s="24"/>
      <c r="Z5" s="24"/>
      <c r="AA5" s="24"/>
      <c r="AB5" s="48"/>
      <c r="AC5" s="48"/>
      <c r="AD5" s="48"/>
      <c r="AE5" s="48"/>
      <c r="AF5" s="48"/>
      <c r="AG5" s="48"/>
      <c r="AH5" s="22"/>
      <c r="AI5" s="58"/>
    </row>
    <row r="6" spans="1:35" ht="32" x14ac:dyDescent="0.2">
      <c r="A6" s="75" t="s">
        <v>82</v>
      </c>
      <c r="B6" s="48">
        <v>1</v>
      </c>
      <c r="C6" s="48"/>
      <c r="D6" s="48"/>
      <c r="E6" s="48"/>
      <c r="F6" s="48"/>
      <c r="G6" s="48"/>
      <c r="H6" s="48"/>
      <c r="I6" s="48"/>
      <c r="J6" s="48"/>
      <c r="K6" s="48"/>
      <c r="L6" s="48">
        <v>1</v>
      </c>
      <c r="M6" s="48" t="s">
        <v>74</v>
      </c>
      <c r="N6" s="48">
        <v>1</v>
      </c>
      <c r="O6" s="48"/>
      <c r="P6" s="48">
        <v>1</v>
      </c>
      <c r="Q6" s="48"/>
      <c r="R6" s="48">
        <v>1</v>
      </c>
      <c r="S6" s="48"/>
      <c r="T6" s="48">
        <v>1</v>
      </c>
      <c r="U6" s="60"/>
      <c r="V6" s="48"/>
      <c r="W6" s="48"/>
      <c r="X6" s="48"/>
      <c r="Y6" s="48"/>
      <c r="Z6" s="48"/>
      <c r="AA6" s="48"/>
      <c r="AB6" s="48">
        <v>1</v>
      </c>
      <c r="AC6" s="48"/>
      <c r="AD6" s="48"/>
      <c r="AE6" s="48"/>
      <c r="AF6" s="48"/>
      <c r="AG6" s="48"/>
      <c r="AH6" s="22" t="s">
        <v>39</v>
      </c>
    </row>
    <row r="7" spans="1:35" ht="64" x14ac:dyDescent="0.2">
      <c r="A7" s="74" t="s">
        <v>53</v>
      </c>
      <c r="B7" s="56">
        <v>1</v>
      </c>
      <c r="C7" s="56">
        <v>1.47</v>
      </c>
      <c r="D7" s="56">
        <v>1</v>
      </c>
      <c r="E7" s="56" t="s">
        <v>54</v>
      </c>
      <c r="F7" s="56">
        <v>1</v>
      </c>
      <c r="G7" s="56">
        <v>15.16</v>
      </c>
      <c r="H7" s="56">
        <v>1</v>
      </c>
      <c r="I7" s="56" t="s">
        <v>60</v>
      </c>
      <c r="J7" s="56">
        <v>1</v>
      </c>
      <c r="K7" s="56" t="s">
        <v>55</v>
      </c>
      <c r="L7" s="56">
        <v>1</v>
      </c>
      <c r="M7" s="56" t="s">
        <v>56</v>
      </c>
      <c r="N7" s="56">
        <v>1</v>
      </c>
      <c r="O7" s="56" t="s">
        <v>57</v>
      </c>
      <c r="P7" s="56">
        <v>1</v>
      </c>
      <c r="Q7" s="56" t="s">
        <v>58</v>
      </c>
      <c r="R7" s="56">
        <v>1</v>
      </c>
      <c r="S7" s="56" t="s">
        <v>61</v>
      </c>
      <c r="T7" s="56">
        <v>1</v>
      </c>
      <c r="U7" s="57" t="s">
        <v>59</v>
      </c>
      <c r="V7" s="56">
        <v>1</v>
      </c>
      <c r="W7" s="56">
        <v>11</v>
      </c>
      <c r="X7" s="56">
        <v>1</v>
      </c>
      <c r="Y7" s="56">
        <v>19</v>
      </c>
      <c r="Z7" s="56"/>
      <c r="AA7" s="56"/>
      <c r="AB7" s="56"/>
      <c r="AC7" s="56"/>
      <c r="AD7" s="56"/>
      <c r="AE7" s="56"/>
      <c r="AF7" s="56"/>
      <c r="AG7" s="56"/>
      <c r="AH7" s="58" t="s">
        <v>38</v>
      </c>
    </row>
    <row r="8" spans="1:35" ht="16" x14ac:dyDescent="0.2">
      <c r="A8" s="75" t="s">
        <v>123</v>
      </c>
      <c r="B8" s="25">
        <v>1</v>
      </c>
      <c r="C8" s="25"/>
      <c r="D8" s="25">
        <v>1</v>
      </c>
      <c r="E8" s="25"/>
      <c r="F8" s="25">
        <v>1</v>
      </c>
      <c r="G8" s="25"/>
      <c r="H8" s="25">
        <v>1</v>
      </c>
      <c r="I8" s="25"/>
      <c r="J8" s="25">
        <v>1</v>
      </c>
      <c r="K8" s="25"/>
      <c r="L8" s="25">
        <v>1</v>
      </c>
      <c r="M8" s="25"/>
      <c r="N8" s="25">
        <v>1</v>
      </c>
      <c r="O8" s="25"/>
      <c r="P8" s="25">
        <v>1</v>
      </c>
      <c r="Q8" s="25"/>
      <c r="R8" s="25">
        <v>1</v>
      </c>
      <c r="S8" s="25"/>
      <c r="T8" s="25">
        <v>1</v>
      </c>
      <c r="U8" s="40"/>
      <c r="V8" s="25">
        <v>1</v>
      </c>
      <c r="W8" s="25"/>
      <c r="X8" s="25">
        <v>1</v>
      </c>
      <c r="Y8" s="25"/>
      <c r="Z8" s="25">
        <v>1</v>
      </c>
      <c r="AA8" s="25"/>
      <c r="AB8" s="50">
        <v>1</v>
      </c>
      <c r="AC8" s="50"/>
      <c r="AD8" s="50">
        <v>1</v>
      </c>
      <c r="AE8" s="50"/>
      <c r="AF8" s="50">
        <v>1</v>
      </c>
      <c r="AG8" s="50"/>
    </row>
    <row r="9" spans="1:35" ht="16" x14ac:dyDescent="0.2">
      <c r="A9" s="74" t="s">
        <v>121</v>
      </c>
      <c r="B9" s="56">
        <v>1</v>
      </c>
      <c r="C9" s="56">
        <v>0.1</v>
      </c>
      <c r="D9" s="56">
        <v>1</v>
      </c>
      <c r="E9" s="56">
        <v>0.1</v>
      </c>
      <c r="F9" s="56">
        <v>1</v>
      </c>
      <c r="G9" s="56">
        <v>0.1</v>
      </c>
      <c r="H9" s="56">
        <v>1</v>
      </c>
      <c r="I9" s="56">
        <v>0.1</v>
      </c>
      <c r="J9" s="56">
        <v>1</v>
      </c>
      <c r="K9" s="56">
        <v>0.1</v>
      </c>
      <c r="L9" s="56">
        <v>1</v>
      </c>
      <c r="M9" s="56">
        <v>0.1</v>
      </c>
      <c r="N9" s="56">
        <v>1</v>
      </c>
      <c r="O9" s="56">
        <v>0.1</v>
      </c>
      <c r="P9" s="56">
        <v>1</v>
      </c>
      <c r="Q9" s="56">
        <v>0.1</v>
      </c>
      <c r="R9" s="56">
        <v>1</v>
      </c>
      <c r="S9" s="56">
        <v>0.1</v>
      </c>
      <c r="T9" s="56">
        <v>1</v>
      </c>
      <c r="U9" s="56">
        <v>0.1</v>
      </c>
      <c r="V9" s="56">
        <v>1</v>
      </c>
      <c r="W9" s="56">
        <v>0.1</v>
      </c>
      <c r="X9" s="56">
        <v>1</v>
      </c>
      <c r="Y9" s="56">
        <v>0.1</v>
      </c>
      <c r="Z9" s="56">
        <v>1</v>
      </c>
      <c r="AA9" s="56">
        <v>0.1</v>
      </c>
      <c r="AB9" s="56">
        <v>1</v>
      </c>
      <c r="AC9" s="56">
        <v>0.1</v>
      </c>
      <c r="AD9" s="56">
        <v>1</v>
      </c>
      <c r="AE9" s="56">
        <v>0.1</v>
      </c>
      <c r="AF9" s="56">
        <v>1</v>
      </c>
      <c r="AG9" s="56">
        <v>0.1</v>
      </c>
      <c r="AH9" s="58" t="s">
        <v>43</v>
      </c>
    </row>
    <row r="10" spans="1:35" ht="64" x14ac:dyDescent="0.2">
      <c r="A10" s="78" t="s">
        <v>89</v>
      </c>
      <c r="B10" s="56"/>
      <c r="C10" s="56"/>
      <c r="D10" s="56"/>
      <c r="E10" s="56"/>
      <c r="F10" s="56"/>
      <c r="G10" s="56"/>
      <c r="H10" s="56">
        <v>1</v>
      </c>
      <c r="I10" s="61" t="s">
        <v>132</v>
      </c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7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8" t="s">
        <v>40</v>
      </c>
    </row>
    <row r="11" spans="1:35" s="59" customFormat="1" ht="32" x14ac:dyDescent="0.2">
      <c r="A11" s="74" t="s">
        <v>97</v>
      </c>
      <c r="B11" s="56">
        <v>1</v>
      </c>
      <c r="C11" s="56" t="s">
        <v>98</v>
      </c>
      <c r="D11" s="71">
        <v>0</v>
      </c>
      <c r="E11" s="71" t="s">
        <v>98</v>
      </c>
      <c r="F11" s="71">
        <v>0</v>
      </c>
      <c r="G11" s="71" t="s">
        <v>98</v>
      </c>
      <c r="H11" s="71">
        <v>0</v>
      </c>
      <c r="I11" s="71" t="s">
        <v>98</v>
      </c>
      <c r="J11" s="71">
        <v>0</v>
      </c>
      <c r="K11" s="71" t="s">
        <v>98</v>
      </c>
      <c r="L11" s="71">
        <v>0</v>
      </c>
      <c r="M11" s="71" t="s">
        <v>98</v>
      </c>
      <c r="N11" s="56">
        <v>1</v>
      </c>
      <c r="O11" s="56" t="s">
        <v>98</v>
      </c>
      <c r="P11" s="71">
        <v>0</v>
      </c>
      <c r="Q11" s="71" t="s">
        <v>98</v>
      </c>
      <c r="R11" s="56">
        <v>1</v>
      </c>
      <c r="S11" s="56" t="s">
        <v>98</v>
      </c>
      <c r="T11" s="56">
        <v>1</v>
      </c>
      <c r="U11" s="56" t="s">
        <v>98</v>
      </c>
      <c r="V11" s="71">
        <v>0</v>
      </c>
      <c r="W11" s="71" t="s">
        <v>98</v>
      </c>
      <c r="X11" s="71">
        <v>0</v>
      </c>
      <c r="Y11" s="71" t="s">
        <v>98</v>
      </c>
      <c r="Z11" s="71"/>
      <c r="AA11" s="71"/>
      <c r="AB11" s="56"/>
      <c r="AC11" s="56"/>
      <c r="AD11" s="56"/>
      <c r="AE11" s="56"/>
      <c r="AF11" s="56"/>
      <c r="AG11" s="56"/>
      <c r="AH11" s="58" t="s">
        <v>38</v>
      </c>
      <c r="AI11" s="58"/>
    </row>
    <row r="12" spans="1:35" ht="16" x14ac:dyDescent="0.2">
      <c r="A12" s="75" t="s">
        <v>105</v>
      </c>
      <c r="B12" s="23"/>
      <c r="C12" s="23"/>
      <c r="D12" s="23">
        <v>1</v>
      </c>
      <c r="E12" s="23">
        <v>0.1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37"/>
      <c r="V12" s="23"/>
      <c r="W12" s="23"/>
      <c r="X12" s="23"/>
      <c r="Y12" s="23"/>
      <c r="Z12" s="23"/>
      <c r="AA12" s="23"/>
      <c r="AB12" s="46"/>
      <c r="AC12" s="46"/>
      <c r="AD12" s="46"/>
      <c r="AE12" s="46"/>
      <c r="AF12" s="46"/>
      <c r="AG12" s="46"/>
      <c r="AH12" s="22" t="s">
        <v>40</v>
      </c>
    </row>
    <row r="13" spans="1:35" ht="17" customHeight="1" x14ac:dyDescent="0.2">
      <c r="A13" s="75" t="s">
        <v>102</v>
      </c>
      <c r="B13" s="23">
        <v>1</v>
      </c>
      <c r="C13" s="23">
        <v>0.1</v>
      </c>
      <c r="D13" s="70">
        <v>0</v>
      </c>
      <c r="E13" s="70">
        <v>0.1</v>
      </c>
      <c r="F13" s="70">
        <v>0</v>
      </c>
      <c r="G13" s="70">
        <v>0.1</v>
      </c>
      <c r="H13" s="70">
        <v>0</v>
      </c>
      <c r="I13" s="70">
        <v>0.1</v>
      </c>
      <c r="J13" s="70">
        <v>0</v>
      </c>
      <c r="K13" s="70">
        <v>0.1</v>
      </c>
      <c r="L13" s="70">
        <v>0</v>
      </c>
      <c r="M13" s="70">
        <v>0.1</v>
      </c>
      <c r="N13" s="23">
        <v>1</v>
      </c>
      <c r="O13" s="23">
        <v>0.1</v>
      </c>
      <c r="P13" s="23">
        <v>1</v>
      </c>
      <c r="Q13" s="23">
        <v>0.1</v>
      </c>
      <c r="R13" s="23">
        <v>1</v>
      </c>
      <c r="S13" s="23">
        <v>0.1</v>
      </c>
      <c r="T13" s="23">
        <v>1</v>
      </c>
      <c r="U13" s="23">
        <v>0.1</v>
      </c>
      <c r="V13" s="70">
        <v>0</v>
      </c>
      <c r="W13" s="70">
        <v>0.1</v>
      </c>
      <c r="X13" s="70">
        <v>0</v>
      </c>
      <c r="Y13" s="70">
        <v>0.1</v>
      </c>
      <c r="Z13" s="23"/>
      <c r="AA13" s="23"/>
      <c r="AB13" s="46"/>
      <c r="AC13" s="46"/>
      <c r="AD13" s="46"/>
      <c r="AE13" s="46"/>
      <c r="AF13" s="46"/>
      <c r="AG13" s="46"/>
      <c r="AH13" s="22" t="s">
        <v>40</v>
      </c>
    </row>
    <row r="14" spans="1:35" ht="14.5" customHeight="1" x14ac:dyDescent="0.2">
      <c r="A14" s="75" t="s">
        <v>103</v>
      </c>
      <c r="B14" s="23">
        <v>1</v>
      </c>
      <c r="C14" s="23">
        <v>0.1</v>
      </c>
      <c r="D14" s="70">
        <v>0</v>
      </c>
      <c r="E14" s="70">
        <v>0.1</v>
      </c>
      <c r="F14" s="70">
        <v>0</v>
      </c>
      <c r="G14" s="70">
        <v>0.1</v>
      </c>
      <c r="H14" s="70">
        <v>0</v>
      </c>
      <c r="I14" s="70">
        <v>0.1</v>
      </c>
      <c r="J14" s="70">
        <v>0</v>
      </c>
      <c r="K14" s="70">
        <v>0.1</v>
      </c>
      <c r="L14" s="70">
        <v>0</v>
      </c>
      <c r="M14" s="70">
        <v>0.1</v>
      </c>
      <c r="N14" s="23">
        <v>1</v>
      </c>
      <c r="O14" s="23">
        <v>0.1</v>
      </c>
      <c r="P14" s="23">
        <v>1</v>
      </c>
      <c r="Q14" s="23">
        <v>0.1</v>
      </c>
      <c r="R14" s="23">
        <v>1</v>
      </c>
      <c r="S14" s="23">
        <v>0.1</v>
      </c>
      <c r="T14" s="23">
        <v>1</v>
      </c>
      <c r="U14" s="23">
        <v>0.1</v>
      </c>
      <c r="V14" s="70">
        <v>0</v>
      </c>
      <c r="W14" s="70">
        <v>0.1</v>
      </c>
      <c r="X14" s="70">
        <v>0</v>
      </c>
      <c r="Y14" s="70">
        <v>0.1</v>
      </c>
      <c r="Z14" s="23"/>
      <c r="AA14" s="23"/>
      <c r="AB14" s="46"/>
      <c r="AC14" s="46"/>
      <c r="AD14" s="46"/>
      <c r="AE14" s="46"/>
      <c r="AF14" s="46"/>
      <c r="AG14" s="46"/>
      <c r="AH14" s="22" t="s">
        <v>40</v>
      </c>
    </row>
    <row r="15" spans="1:35" s="67" customFormat="1" ht="17" customHeight="1" x14ac:dyDescent="0.2">
      <c r="A15" s="74" t="s">
        <v>99</v>
      </c>
      <c r="B15" s="56">
        <v>1</v>
      </c>
      <c r="C15" s="56" t="s">
        <v>100</v>
      </c>
      <c r="D15" s="70">
        <v>0</v>
      </c>
      <c r="E15" s="70" t="s">
        <v>100</v>
      </c>
      <c r="F15" s="70">
        <v>0</v>
      </c>
      <c r="G15" s="70" t="s">
        <v>100</v>
      </c>
      <c r="H15" s="70">
        <v>0</v>
      </c>
      <c r="I15" s="70" t="s">
        <v>100</v>
      </c>
      <c r="J15" s="70">
        <v>0</v>
      </c>
      <c r="K15" s="70" t="s">
        <v>100</v>
      </c>
      <c r="L15" s="70">
        <v>0</v>
      </c>
      <c r="M15" s="70" t="s">
        <v>100</v>
      </c>
      <c r="N15" s="56">
        <v>1</v>
      </c>
      <c r="O15" s="56" t="s">
        <v>100</v>
      </c>
      <c r="P15" s="56">
        <v>1</v>
      </c>
      <c r="Q15" s="56" t="s">
        <v>100</v>
      </c>
      <c r="R15" s="56">
        <v>1</v>
      </c>
      <c r="S15" s="56" t="s">
        <v>100</v>
      </c>
      <c r="T15" s="56">
        <v>1</v>
      </c>
      <c r="U15" s="56" t="s">
        <v>100</v>
      </c>
      <c r="V15" s="70">
        <v>0</v>
      </c>
      <c r="W15" s="70" t="s">
        <v>100</v>
      </c>
      <c r="X15" s="70">
        <v>0</v>
      </c>
      <c r="Y15" s="70" t="s">
        <v>100</v>
      </c>
      <c r="Z15" s="56"/>
      <c r="AA15" s="56"/>
      <c r="AB15" s="56"/>
      <c r="AC15" s="56"/>
      <c r="AD15" s="56"/>
      <c r="AE15" s="56"/>
      <c r="AF15" s="56"/>
      <c r="AG15" s="56"/>
      <c r="AH15" s="58" t="s">
        <v>40</v>
      </c>
      <c r="AI15" s="66"/>
    </row>
    <row r="16" spans="1:35" s="59" customFormat="1" ht="48" x14ac:dyDescent="0.2">
      <c r="A16" s="74" t="s">
        <v>87</v>
      </c>
      <c r="B16" s="56"/>
      <c r="C16" s="56"/>
      <c r="D16" s="56">
        <v>1</v>
      </c>
      <c r="E16" s="61" t="s">
        <v>88</v>
      </c>
      <c r="F16" s="56"/>
      <c r="G16" s="56"/>
      <c r="H16" s="56">
        <v>1</v>
      </c>
      <c r="I16" s="61" t="s">
        <v>88</v>
      </c>
      <c r="J16" s="56">
        <v>1</v>
      </c>
      <c r="K16" s="61" t="s">
        <v>88</v>
      </c>
      <c r="L16" s="56"/>
      <c r="M16" s="56"/>
      <c r="N16" s="56"/>
      <c r="O16" s="56"/>
      <c r="P16" s="56"/>
      <c r="Q16" s="56"/>
      <c r="R16" s="56">
        <v>1</v>
      </c>
      <c r="S16" s="61" t="s">
        <v>88</v>
      </c>
      <c r="T16" s="56"/>
      <c r="U16" s="57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8" t="s">
        <v>38</v>
      </c>
      <c r="AI16" s="58"/>
    </row>
    <row r="17" spans="1:35" ht="85" customHeight="1" x14ac:dyDescent="0.2">
      <c r="A17" s="75" t="s">
        <v>104</v>
      </c>
      <c r="B17" s="23">
        <v>1</v>
      </c>
      <c r="C17" s="23">
        <v>0.1</v>
      </c>
      <c r="D17" s="70">
        <v>0</v>
      </c>
      <c r="E17" s="70">
        <v>0.1</v>
      </c>
      <c r="F17" s="70">
        <v>0</v>
      </c>
      <c r="G17" s="70">
        <v>0.1</v>
      </c>
      <c r="H17" s="70">
        <v>0</v>
      </c>
      <c r="I17" s="70">
        <v>0.1</v>
      </c>
      <c r="J17" s="70">
        <v>0</v>
      </c>
      <c r="K17" s="70">
        <v>0.1</v>
      </c>
      <c r="L17" s="70">
        <v>0</v>
      </c>
      <c r="M17" s="70">
        <v>0.1</v>
      </c>
      <c r="N17" s="23">
        <v>1</v>
      </c>
      <c r="O17" s="23">
        <v>0.1</v>
      </c>
      <c r="P17" s="23">
        <v>1</v>
      </c>
      <c r="Q17" s="23">
        <v>0.1</v>
      </c>
      <c r="R17" s="23">
        <v>1</v>
      </c>
      <c r="S17" s="23">
        <v>0.1</v>
      </c>
      <c r="T17" s="23">
        <v>1</v>
      </c>
      <c r="U17" s="23">
        <v>0.1</v>
      </c>
      <c r="V17" s="70">
        <v>0</v>
      </c>
      <c r="W17" s="70">
        <v>0.1</v>
      </c>
      <c r="X17" s="70">
        <v>0</v>
      </c>
      <c r="Y17" s="70">
        <v>0.1</v>
      </c>
      <c r="Z17" s="23"/>
      <c r="AA17" s="23"/>
      <c r="AB17" s="46"/>
      <c r="AC17" s="46"/>
      <c r="AD17" s="46"/>
      <c r="AE17" s="46"/>
      <c r="AF17" s="46"/>
      <c r="AG17" s="46"/>
      <c r="AH17" s="22" t="s">
        <v>40</v>
      </c>
    </row>
    <row r="18" spans="1:35" ht="16" x14ac:dyDescent="0.2">
      <c r="A18" s="75" t="s">
        <v>45</v>
      </c>
      <c r="B18" s="24">
        <v>1</v>
      </c>
      <c r="C18" s="24"/>
      <c r="D18" s="24">
        <v>1</v>
      </c>
      <c r="E18" s="24"/>
      <c r="F18" s="24">
        <v>1</v>
      </c>
      <c r="G18" s="24"/>
      <c r="H18" s="24">
        <v>1</v>
      </c>
      <c r="I18" s="24"/>
      <c r="J18" s="24">
        <v>1</v>
      </c>
      <c r="K18" s="24"/>
      <c r="L18" s="24">
        <v>1</v>
      </c>
      <c r="M18" s="24"/>
      <c r="N18" s="24">
        <v>1</v>
      </c>
      <c r="O18" s="24"/>
      <c r="P18" s="24">
        <v>1</v>
      </c>
      <c r="Q18" s="24"/>
      <c r="R18" s="24">
        <v>1</v>
      </c>
      <c r="S18" s="24"/>
      <c r="T18" s="24">
        <v>1</v>
      </c>
      <c r="U18" s="38"/>
      <c r="V18" s="24">
        <v>1</v>
      </c>
      <c r="W18" s="24"/>
      <c r="X18" s="24">
        <v>1</v>
      </c>
      <c r="Y18" s="24"/>
      <c r="Z18" s="24">
        <v>1</v>
      </c>
      <c r="AA18" s="24"/>
      <c r="AB18" s="48">
        <v>1</v>
      </c>
      <c r="AC18" s="48"/>
      <c r="AD18" s="48">
        <v>1</v>
      </c>
      <c r="AE18" s="48"/>
      <c r="AF18" s="48">
        <v>1</v>
      </c>
      <c r="AG18" s="48"/>
    </row>
    <row r="19" spans="1:35" ht="16" x14ac:dyDescent="0.2">
      <c r="A19" s="75" t="s">
        <v>44</v>
      </c>
      <c r="B19" s="24">
        <v>1</v>
      </c>
      <c r="C19" s="24"/>
      <c r="D19" s="24">
        <v>1</v>
      </c>
      <c r="E19" s="24"/>
      <c r="F19" s="24">
        <v>1</v>
      </c>
      <c r="G19" s="24"/>
      <c r="H19" s="24">
        <v>1</v>
      </c>
      <c r="I19" s="24"/>
      <c r="J19" s="24">
        <v>1</v>
      </c>
      <c r="K19" s="24"/>
      <c r="L19" s="24">
        <v>1</v>
      </c>
      <c r="M19" s="24"/>
      <c r="N19" s="24">
        <v>1</v>
      </c>
      <c r="O19" s="24"/>
      <c r="P19" s="24">
        <v>1</v>
      </c>
      <c r="Q19" s="24"/>
      <c r="R19" s="24">
        <v>1</v>
      </c>
      <c r="S19" s="24"/>
      <c r="T19" s="24">
        <v>1</v>
      </c>
      <c r="U19" s="38"/>
      <c r="V19" s="24">
        <v>1</v>
      </c>
      <c r="W19" s="24"/>
      <c r="X19" s="24">
        <v>1</v>
      </c>
      <c r="Y19" s="24"/>
      <c r="Z19" s="24">
        <v>1</v>
      </c>
      <c r="AA19" s="24"/>
      <c r="AB19" s="48">
        <v>1</v>
      </c>
      <c r="AC19" s="48"/>
      <c r="AD19" s="48">
        <v>1</v>
      </c>
      <c r="AE19" s="48"/>
      <c r="AF19" s="48">
        <v>1</v>
      </c>
      <c r="AG19" s="48"/>
    </row>
    <row r="20" spans="1:35" ht="16" x14ac:dyDescent="0.2">
      <c r="A20" s="75" t="s">
        <v>101</v>
      </c>
      <c r="B20" s="23">
        <v>1</v>
      </c>
      <c r="C20" s="23">
        <v>0.1</v>
      </c>
      <c r="D20" s="70">
        <v>0</v>
      </c>
      <c r="E20" s="70">
        <v>0.1</v>
      </c>
      <c r="F20" s="70">
        <v>0</v>
      </c>
      <c r="G20" s="70">
        <v>0.1</v>
      </c>
      <c r="H20" s="70">
        <v>0</v>
      </c>
      <c r="I20" s="70">
        <v>0.1</v>
      </c>
      <c r="J20" s="70">
        <v>0</v>
      </c>
      <c r="K20" s="70">
        <v>0.1</v>
      </c>
      <c r="L20" s="70">
        <v>0</v>
      </c>
      <c r="M20" s="70">
        <v>0.1</v>
      </c>
      <c r="N20" s="23">
        <v>1</v>
      </c>
      <c r="O20" s="23">
        <v>0.1</v>
      </c>
      <c r="P20" s="23">
        <v>1</v>
      </c>
      <c r="Q20" s="23">
        <v>0.1</v>
      </c>
      <c r="R20" s="23">
        <v>1</v>
      </c>
      <c r="S20" s="23">
        <v>0.1</v>
      </c>
      <c r="T20" s="23">
        <v>1</v>
      </c>
      <c r="U20" s="23">
        <v>0.1</v>
      </c>
      <c r="V20" s="70">
        <v>0</v>
      </c>
      <c r="W20" s="70">
        <v>0.1</v>
      </c>
      <c r="X20" s="70">
        <v>0</v>
      </c>
      <c r="Y20" s="70">
        <v>0.1</v>
      </c>
      <c r="Z20" s="23"/>
      <c r="AA20" s="23"/>
      <c r="AB20" s="46"/>
      <c r="AC20" s="46"/>
      <c r="AD20" s="46"/>
      <c r="AE20" s="46"/>
      <c r="AF20" s="46"/>
      <c r="AG20" s="46"/>
      <c r="AH20" s="22" t="s">
        <v>40</v>
      </c>
    </row>
    <row r="21" spans="1:35" ht="48" x14ac:dyDescent="0.2">
      <c r="A21" s="75" t="s">
        <v>122</v>
      </c>
      <c r="B21" s="72">
        <v>0</v>
      </c>
      <c r="C21" s="25" t="s">
        <v>124</v>
      </c>
      <c r="D21" s="72">
        <v>0</v>
      </c>
      <c r="E21" s="25" t="s">
        <v>125</v>
      </c>
      <c r="F21" s="72">
        <v>0</v>
      </c>
      <c r="G21" s="25" t="s">
        <v>125</v>
      </c>
      <c r="H21" s="72">
        <v>0</v>
      </c>
      <c r="I21" s="25" t="s">
        <v>125</v>
      </c>
      <c r="J21" s="72">
        <v>0</v>
      </c>
      <c r="K21" s="25" t="s">
        <v>125</v>
      </c>
      <c r="L21" s="72">
        <v>0</v>
      </c>
      <c r="M21" s="25" t="s">
        <v>125</v>
      </c>
      <c r="N21" s="72">
        <v>0</v>
      </c>
      <c r="O21" s="25" t="s">
        <v>124</v>
      </c>
      <c r="P21" s="72">
        <v>0</v>
      </c>
      <c r="Q21" s="25" t="s">
        <v>124</v>
      </c>
      <c r="R21" s="72">
        <v>0</v>
      </c>
      <c r="S21" s="25" t="s">
        <v>124</v>
      </c>
      <c r="T21" s="72">
        <v>0</v>
      </c>
      <c r="U21" s="25" t="s">
        <v>124</v>
      </c>
      <c r="V21" s="72">
        <v>0</v>
      </c>
      <c r="W21" s="25"/>
      <c r="X21" s="72">
        <v>0</v>
      </c>
      <c r="Y21" s="25"/>
      <c r="Z21" s="72">
        <v>0</v>
      </c>
      <c r="AA21" s="25"/>
      <c r="AB21" s="72">
        <v>0</v>
      </c>
      <c r="AC21" s="50" t="s">
        <v>126</v>
      </c>
      <c r="AD21" s="72">
        <v>0</v>
      </c>
      <c r="AE21" s="50" t="s">
        <v>75</v>
      </c>
      <c r="AF21" s="72">
        <v>0</v>
      </c>
      <c r="AG21" s="50" t="s">
        <v>75</v>
      </c>
      <c r="AH21" s="22" t="s">
        <v>134</v>
      </c>
    </row>
    <row r="22" spans="1:35" s="59" customFormat="1" ht="48" x14ac:dyDescent="0.2">
      <c r="A22" s="74" t="s">
        <v>93</v>
      </c>
      <c r="B22" s="56">
        <v>1</v>
      </c>
      <c r="C22" s="56" t="s">
        <v>92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7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8" t="s">
        <v>38</v>
      </c>
      <c r="AI22" s="58"/>
    </row>
    <row r="23" spans="1:35" ht="60" customHeight="1" x14ac:dyDescent="0.2">
      <c r="A23" s="74" t="s">
        <v>120</v>
      </c>
      <c r="B23" s="56"/>
      <c r="C23" s="56"/>
      <c r="D23" s="56"/>
      <c r="E23" s="56"/>
      <c r="F23" s="56"/>
      <c r="G23" s="56"/>
      <c r="H23" s="56">
        <v>1</v>
      </c>
      <c r="I23" s="56" t="s">
        <v>119</v>
      </c>
      <c r="J23" s="56"/>
      <c r="K23" s="56"/>
      <c r="L23" s="56"/>
      <c r="M23" s="56"/>
      <c r="N23" s="56"/>
      <c r="O23" s="56"/>
      <c r="P23" s="56"/>
      <c r="Q23" s="56"/>
      <c r="R23" s="56">
        <v>1</v>
      </c>
      <c r="S23" s="56"/>
      <c r="T23" s="56"/>
      <c r="U23" s="57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8" t="s">
        <v>39</v>
      </c>
    </row>
    <row r="24" spans="1:35" s="59" customFormat="1" ht="16" x14ac:dyDescent="0.2">
      <c r="A24" s="75" t="s">
        <v>52</v>
      </c>
      <c r="B24" s="24">
        <v>1</v>
      </c>
      <c r="C24" s="24"/>
      <c r="D24" s="24">
        <v>1</v>
      </c>
      <c r="E24" s="24"/>
      <c r="F24" s="24">
        <v>1</v>
      </c>
      <c r="G24" s="24"/>
      <c r="H24" s="24">
        <v>1</v>
      </c>
      <c r="I24" s="24"/>
      <c r="J24" s="24">
        <v>1</v>
      </c>
      <c r="K24" s="24"/>
      <c r="L24" s="24">
        <v>1</v>
      </c>
      <c r="M24" s="24"/>
      <c r="N24" s="24">
        <v>1</v>
      </c>
      <c r="O24" s="24"/>
      <c r="P24" s="24">
        <v>1</v>
      </c>
      <c r="Q24" s="24"/>
      <c r="R24" s="24">
        <v>1</v>
      </c>
      <c r="S24" s="24"/>
      <c r="T24" s="24">
        <v>1</v>
      </c>
      <c r="U24" s="38"/>
      <c r="V24" s="24">
        <v>1</v>
      </c>
      <c r="W24" s="24"/>
      <c r="X24" s="24">
        <v>1</v>
      </c>
      <c r="Y24" s="24"/>
      <c r="Z24" s="24">
        <v>1</v>
      </c>
      <c r="AA24" s="24"/>
      <c r="AB24" s="48"/>
      <c r="AC24" s="48"/>
      <c r="AD24" s="48"/>
      <c r="AE24" s="48"/>
      <c r="AF24" s="48"/>
      <c r="AG24" s="48"/>
      <c r="AH24" s="22"/>
      <c r="AI24" s="58"/>
    </row>
    <row r="25" spans="1:35" s="59" customFormat="1" ht="26.5" customHeight="1" x14ac:dyDescent="0.2">
      <c r="A25" s="74" t="s">
        <v>68</v>
      </c>
      <c r="B25" s="56">
        <v>1</v>
      </c>
      <c r="C25" s="56" t="s">
        <v>69</v>
      </c>
      <c r="D25" s="56">
        <v>1</v>
      </c>
      <c r="E25" s="56" t="s">
        <v>69</v>
      </c>
      <c r="F25" s="56">
        <v>1</v>
      </c>
      <c r="G25" s="56" t="s">
        <v>69</v>
      </c>
      <c r="H25" s="56">
        <v>1</v>
      </c>
      <c r="I25" s="56" t="s">
        <v>69</v>
      </c>
      <c r="J25" s="56">
        <v>1</v>
      </c>
      <c r="K25" s="56" t="s">
        <v>69</v>
      </c>
      <c r="L25" s="56">
        <v>1</v>
      </c>
      <c r="M25" s="56" t="s">
        <v>69</v>
      </c>
      <c r="N25" s="56">
        <v>1</v>
      </c>
      <c r="O25" s="56" t="s">
        <v>69</v>
      </c>
      <c r="P25" s="56">
        <v>1</v>
      </c>
      <c r="Q25" s="56" t="s">
        <v>69</v>
      </c>
      <c r="R25" s="56">
        <v>1</v>
      </c>
      <c r="S25" s="56" t="s">
        <v>69</v>
      </c>
      <c r="T25" s="56">
        <v>1</v>
      </c>
      <c r="U25" s="56" t="s">
        <v>69</v>
      </c>
      <c r="V25" s="56"/>
      <c r="W25" s="56" t="s">
        <v>69</v>
      </c>
      <c r="X25" s="56"/>
      <c r="Y25" s="56" t="s">
        <v>69</v>
      </c>
      <c r="Z25" s="56"/>
      <c r="AA25" s="56" t="s">
        <v>69</v>
      </c>
      <c r="AB25" s="56"/>
      <c r="AC25" s="56"/>
      <c r="AD25" s="56"/>
      <c r="AE25" s="56"/>
      <c r="AF25" s="56"/>
      <c r="AG25" s="56"/>
      <c r="AH25" s="58" t="s">
        <v>39</v>
      </c>
      <c r="AI25" s="58"/>
    </row>
    <row r="26" spans="1:35" s="59" customFormat="1" ht="16" x14ac:dyDescent="0.2">
      <c r="A26" s="75" t="s">
        <v>84</v>
      </c>
      <c r="B26" s="23">
        <v>1</v>
      </c>
      <c r="C26" s="23"/>
      <c r="D26" s="23">
        <v>1</v>
      </c>
      <c r="E26" s="23"/>
      <c r="F26" s="23">
        <v>1</v>
      </c>
      <c r="G26" s="23"/>
      <c r="H26" s="23">
        <v>1</v>
      </c>
      <c r="I26" s="23"/>
      <c r="J26" s="23">
        <v>1</v>
      </c>
      <c r="K26" s="23"/>
      <c r="L26" s="23">
        <v>1</v>
      </c>
      <c r="M26" s="23"/>
      <c r="N26" s="23">
        <v>1</v>
      </c>
      <c r="O26" s="23"/>
      <c r="P26" s="23">
        <v>1</v>
      </c>
      <c r="Q26" s="23"/>
      <c r="R26" s="23">
        <v>1</v>
      </c>
      <c r="S26" s="23"/>
      <c r="T26" s="23">
        <v>1</v>
      </c>
      <c r="U26" s="37"/>
      <c r="V26" s="23"/>
      <c r="W26" s="23"/>
      <c r="X26" s="23"/>
      <c r="Y26" s="23"/>
      <c r="Z26" s="23"/>
      <c r="AA26" s="23"/>
      <c r="AB26" s="46"/>
      <c r="AC26" s="46"/>
      <c r="AD26" s="46"/>
      <c r="AE26" s="46"/>
      <c r="AF26" s="46"/>
      <c r="AG26" s="46"/>
      <c r="AH26" s="22" t="s">
        <v>39</v>
      </c>
      <c r="AI26" s="58"/>
    </row>
    <row r="27" spans="1:35" s="69" customFormat="1" ht="16" x14ac:dyDescent="0.2">
      <c r="A27" s="75" t="s">
        <v>86</v>
      </c>
      <c r="B27" s="23">
        <v>1</v>
      </c>
      <c r="C27" s="23"/>
      <c r="D27" s="23">
        <v>1</v>
      </c>
      <c r="E27" s="23"/>
      <c r="F27" s="23">
        <v>1</v>
      </c>
      <c r="G27" s="23"/>
      <c r="H27" s="23">
        <v>1</v>
      </c>
      <c r="I27" s="23"/>
      <c r="J27" s="23">
        <v>1</v>
      </c>
      <c r="K27" s="23"/>
      <c r="L27" s="23">
        <v>1</v>
      </c>
      <c r="M27" s="23"/>
      <c r="N27" s="23">
        <v>1</v>
      </c>
      <c r="O27" s="23"/>
      <c r="P27" s="23">
        <v>1</v>
      </c>
      <c r="Q27" s="23"/>
      <c r="R27" s="23">
        <v>1</v>
      </c>
      <c r="S27" s="23"/>
      <c r="T27" s="23">
        <v>1</v>
      </c>
      <c r="U27" s="37"/>
      <c r="V27" s="23"/>
      <c r="W27" s="23"/>
      <c r="X27" s="23"/>
      <c r="Y27" s="23"/>
      <c r="Z27" s="23"/>
      <c r="AA27" s="23"/>
      <c r="AB27" s="46"/>
      <c r="AC27" s="46"/>
      <c r="AD27" s="46"/>
      <c r="AE27" s="46"/>
      <c r="AF27" s="46"/>
      <c r="AG27" s="46"/>
      <c r="AH27" s="22" t="s">
        <v>39</v>
      </c>
      <c r="AI27" s="68"/>
    </row>
    <row r="28" spans="1:35" s="59" customFormat="1" ht="16" x14ac:dyDescent="0.2">
      <c r="A28" s="75" t="s">
        <v>85</v>
      </c>
      <c r="B28" s="23">
        <v>1</v>
      </c>
      <c r="C28" s="23"/>
      <c r="D28" s="23">
        <v>1</v>
      </c>
      <c r="E28" s="23"/>
      <c r="F28" s="23">
        <v>1</v>
      </c>
      <c r="G28" s="23"/>
      <c r="H28" s="23">
        <v>1</v>
      </c>
      <c r="I28" s="23"/>
      <c r="J28" s="23">
        <v>1</v>
      </c>
      <c r="K28" s="23"/>
      <c r="L28" s="23">
        <v>1</v>
      </c>
      <c r="M28" s="23"/>
      <c r="N28" s="23">
        <v>1</v>
      </c>
      <c r="O28" s="23"/>
      <c r="P28" s="23">
        <v>1</v>
      </c>
      <c r="Q28" s="23"/>
      <c r="R28" s="23">
        <v>1</v>
      </c>
      <c r="S28" s="23"/>
      <c r="T28" s="23">
        <v>1</v>
      </c>
      <c r="U28" s="37"/>
      <c r="V28" s="23"/>
      <c r="W28" s="23"/>
      <c r="X28" s="23"/>
      <c r="Y28" s="23"/>
      <c r="Z28" s="23"/>
      <c r="AA28" s="23"/>
      <c r="AB28" s="46"/>
      <c r="AC28" s="46"/>
      <c r="AD28" s="46"/>
      <c r="AE28" s="46"/>
      <c r="AF28" s="46"/>
      <c r="AG28" s="46"/>
      <c r="AH28" s="22" t="s">
        <v>39</v>
      </c>
      <c r="AI28" s="58"/>
    </row>
    <row r="29" spans="1:35" ht="16" x14ac:dyDescent="0.2">
      <c r="A29" s="75" t="s">
        <v>83</v>
      </c>
      <c r="B29" s="23">
        <v>1</v>
      </c>
      <c r="C29" s="23"/>
      <c r="D29" s="23">
        <v>1</v>
      </c>
      <c r="E29" s="23"/>
      <c r="F29" s="23">
        <v>1</v>
      </c>
      <c r="G29" s="23"/>
      <c r="H29" s="23">
        <v>1</v>
      </c>
      <c r="I29" s="23"/>
      <c r="J29" s="23">
        <v>1</v>
      </c>
      <c r="K29" s="23"/>
      <c r="L29" s="23">
        <v>1</v>
      </c>
      <c r="M29" s="23"/>
      <c r="N29" s="23">
        <v>1</v>
      </c>
      <c r="O29" s="23"/>
      <c r="P29" s="23">
        <v>1</v>
      </c>
      <c r="Q29" s="23"/>
      <c r="R29" s="23">
        <v>1</v>
      </c>
      <c r="S29" s="23"/>
      <c r="T29" s="23">
        <v>1</v>
      </c>
      <c r="U29" s="37"/>
      <c r="V29" s="23"/>
      <c r="W29" s="23"/>
      <c r="X29" s="23"/>
      <c r="Y29" s="23"/>
      <c r="Z29" s="23"/>
      <c r="AA29" s="23"/>
      <c r="AB29" s="46"/>
      <c r="AC29" s="46"/>
      <c r="AD29" s="46"/>
      <c r="AE29" s="46"/>
      <c r="AF29" s="46"/>
      <c r="AG29" s="46"/>
      <c r="AH29" s="22" t="s">
        <v>39</v>
      </c>
    </row>
    <row r="30" spans="1:35" s="59" customFormat="1" ht="16" x14ac:dyDescent="0.2">
      <c r="A30" s="74" t="s">
        <v>46</v>
      </c>
      <c r="B30" s="56">
        <v>1</v>
      </c>
      <c r="C30" s="56"/>
      <c r="D30" s="56">
        <v>1</v>
      </c>
      <c r="E30" s="56"/>
      <c r="F30" s="56">
        <v>1</v>
      </c>
      <c r="G30" s="56"/>
      <c r="H30" s="56">
        <v>1</v>
      </c>
      <c r="I30" s="56"/>
      <c r="J30" s="56">
        <v>1</v>
      </c>
      <c r="K30" s="56"/>
      <c r="L30" s="56">
        <v>1</v>
      </c>
      <c r="M30" s="56"/>
      <c r="N30" s="56">
        <v>1</v>
      </c>
      <c r="O30" s="56"/>
      <c r="P30" s="56">
        <v>1</v>
      </c>
      <c r="Q30" s="56"/>
      <c r="R30" s="56">
        <v>1</v>
      </c>
      <c r="S30" s="56"/>
      <c r="T30" s="56">
        <v>1</v>
      </c>
      <c r="U30" s="57"/>
      <c r="V30" s="56">
        <v>1</v>
      </c>
      <c r="W30" s="56"/>
      <c r="X30" s="56">
        <v>1</v>
      </c>
      <c r="Y30" s="56"/>
      <c r="Z30" s="56">
        <v>1</v>
      </c>
      <c r="AA30" s="56"/>
      <c r="AB30" s="56">
        <v>1</v>
      </c>
      <c r="AC30" s="56"/>
      <c r="AD30" s="56">
        <v>1</v>
      </c>
      <c r="AE30" s="56"/>
      <c r="AF30" s="56">
        <v>1</v>
      </c>
      <c r="AG30" s="56"/>
      <c r="AH30" s="58" t="s">
        <v>38</v>
      </c>
      <c r="AI30" s="58"/>
    </row>
    <row r="31" spans="1:35" s="59" customFormat="1" ht="57" customHeight="1" x14ac:dyDescent="0.2">
      <c r="A31" s="83" t="s">
        <v>65</v>
      </c>
      <c r="B31" s="63">
        <v>0</v>
      </c>
      <c r="C31" s="63"/>
      <c r="D31" s="63">
        <v>0</v>
      </c>
      <c r="E31" s="63"/>
      <c r="F31" s="63">
        <v>0</v>
      </c>
      <c r="G31" s="63"/>
      <c r="H31" s="63">
        <v>0</v>
      </c>
      <c r="I31" s="63"/>
      <c r="J31" s="63">
        <v>0</v>
      </c>
      <c r="K31" s="63"/>
      <c r="L31" s="63">
        <v>0</v>
      </c>
      <c r="M31" s="63"/>
      <c r="N31" s="63">
        <v>0</v>
      </c>
      <c r="O31" s="63"/>
      <c r="P31" s="63">
        <v>0</v>
      </c>
      <c r="Q31" s="63"/>
      <c r="R31" s="63">
        <v>0</v>
      </c>
      <c r="S31" s="63"/>
      <c r="T31" s="63">
        <v>0</v>
      </c>
      <c r="U31" s="64"/>
      <c r="V31" s="63"/>
      <c r="W31" s="63"/>
      <c r="X31" s="63"/>
      <c r="Y31" s="63"/>
      <c r="Z31" s="63"/>
      <c r="AA31" s="63"/>
      <c r="AB31" s="65"/>
      <c r="AC31" s="65"/>
      <c r="AD31" s="65"/>
      <c r="AE31" s="65"/>
      <c r="AF31" s="65"/>
      <c r="AG31" s="65"/>
      <c r="AH31" s="66"/>
      <c r="AI31" s="58"/>
    </row>
    <row r="32" spans="1:35" s="59" customFormat="1" ht="16" x14ac:dyDescent="0.2">
      <c r="A32" s="74" t="s">
        <v>90</v>
      </c>
      <c r="B32" s="56"/>
      <c r="C32" s="56"/>
      <c r="D32" s="56">
        <v>1</v>
      </c>
      <c r="E32" s="62" t="s">
        <v>91</v>
      </c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7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8"/>
      <c r="AI32" s="58"/>
    </row>
    <row r="33" spans="1:35" ht="16" x14ac:dyDescent="0.2">
      <c r="A33" s="75" t="s">
        <v>51</v>
      </c>
      <c r="B33" s="24">
        <v>1</v>
      </c>
      <c r="C33" s="24"/>
      <c r="D33" s="24">
        <v>1</v>
      </c>
      <c r="E33" s="24"/>
      <c r="F33" s="24">
        <v>1</v>
      </c>
      <c r="G33" s="24"/>
      <c r="H33" s="24">
        <v>1</v>
      </c>
      <c r="I33" s="24"/>
      <c r="J33" s="24">
        <v>1</v>
      </c>
      <c r="K33" s="24"/>
      <c r="L33" s="24">
        <v>1</v>
      </c>
      <c r="M33" s="24"/>
      <c r="N33" s="24">
        <v>1</v>
      </c>
      <c r="O33" s="24"/>
      <c r="P33" s="24">
        <v>1</v>
      </c>
      <c r="Q33" s="24"/>
      <c r="R33" s="24">
        <v>1</v>
      </c>
      <c r="S33" s="24"/>
      <c r="T33" s="24">
        <v>1</v>
      </c>
      <c r="U33" s="38"/>
      <c r="V33" s="24">
        <v>1</v>
      </c>
      <c r="W33" s="24"/>
      <c r="X33" s="24">
        <v>1</v>
      </c>
      <c r="Y33" s="24"/>
      <c r="Z33" s="24">
        <v>1</v>
      </c>
      <c r="AA33" s="24"/>
      <c r="AB33" s="48"/>
      <c r="AC33" s="48"/>
      <c r="AD33" s="48"/>
      <c r="AE33" s="48"/>
      <c r="AF33" s="48"/>
      <c r="AG33" s="48"/>
    </row>
    <row r="34" spans="1:35" s="59" customFormat="1" ht="32" x14ac:dyDescent="0.2">
      <c r="A34" s="75" t="s">
        <v>64</v>
      </c>
      <c r="B34" s="24">
        <v>1</v>
      </c>
      <c r="C34" s="24"/>
      <c r="D34" s="24">
        <v>1</v>
      </c>
      <c r="E34" s="24"/>
      <c r="F34" s="24">
        <v>1</v>
      </c>
      <c r="G34" s="24"/>
      <c r="H34" s="24">
        <v>1</v>
      </c>
      <c r="I34" s="24"/>
      <c r="J34" s="24">
        <v>1</v>
      </c>
      <c r="K34" s="24"/>
      <c r="L34" s="24">
        <v>1</v>
      </c>
      <c r="M34" s="24"/>
      <c r="N34" s="24">
        <v>1</v>
      </c>
      <c r="O34" s="24"/>
      <c r="P34" s="24">
        <v>1</v>
      </c>
      <c r="Q34" s="24"/>
      <c r="R34" s="24">
        <v>1</v>
      </c>
      <c r="S34" s="24"/>
      <c r="T34" s="24">
        <v>1</v>
      </c>
      <c r="U34" s="38"/>
      <c r="V34" s="24"/>
      <c r="W34" s="24"/>
      <c r="X34" s="24"/>
      <c r="Y34" s="24"/>
      <c r="Z34" s="24"/>
      <c r="AA34" s="24"/>
      <c r="AB34" s="48"/>
      <c r="AC34" s="48"/>
      <c r="AD34" s="48"/>
      <c r="AE34" s="48"/>
      <c r="AF34" s="48"/>
      <c r="AG34" s="48"/>
      <c r="AH34" s="22"/>
      <c r="AI34" s="58"/>
    </row>
    <row r="35" spans="1:35" s="59" customFormat="1" ht="16" x14ac:dyDescent="0.2">
      <c r="A35" s="74" t="s">
        <v>106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>
        <v>1</v>
      </c>
      <c r="U35" s="57" t="s">
        <v>70</v>
      </c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8" t="s">
        <v>38</v>
      </c>
      <c r="AI35" s="58"/>
    </row>
    <row r="36" spans="1:35" s="59" customFormat="1" ht="16" x14ac:dyDescent="0.2">
      <c r="A36" s="75" t="s">
        <v>112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3"/>
      <c r="V36" s="42"/>
      <c r="W36" s="42"/>
      <c r="X36" s="42"/>
      <c r="Y36" s="42"/>
      <c r="Z36" s="42"/>
      <c r="AA36" s="42"/>
      <c r="AB36" s="49"/>
      <c r="AC36" s="49"/>
      <c r="AD36" s="49"/>
      <c r="AE36" s="49"/>
      <c r="AF36" s="25">
        <v>1</v>
      </c>
      <c r="AG36" s="49"/>
      <c r="AH36" s="22"/>
      <c r="AI36" s="58"/>
    </row>
    <row r="37" spans="1:35" s="59" customFormat="1" ht="64" x14ac:dyDescent="0.2">
      <c r="A37" s="75" t="s">
        <v>47</v>
      </c>
      <c r="B37" s="23">
        <v>1</v>
      </c>
      <c r="C37" s="23" t="s">
        <v>48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>
        <v>1</v>
      </c>
      <c r="S37" s="23" t="s">
        <v>48</v>
      </c>
      <c r="T37" s="23"/>
      <c r="U37" s="37"/>
      <c r="V37" s="23"/>
      <c r="W37" s="23"/>
      <c r="X37" s="23"/>
      <c r="Y37" s="23"/>
      <c r="Z37" s="23"/>
      <c r="AA37" s="23"/>
      <c r="AB37" s="56">
        <v>1</v>
      </c>
      <c r="AC37" s="56" t="s">
        <v>50</v>
      </c>
      <c r="AD37" s="46"/>
      <c r="AE37" s="46"/>
      <c r="AF37" s="46"/>
      <c r="AG37" s="46"/>
      <c r="AH37" s="22"/>
      <c r="AI37" s="58"/>
    </row>
    <row r="38" spans="1:35" ht="64" x14ac:dyDescent="0.2">
      <c r="A38" s="75" t="s">
        <v>71</v>
      </c>
      <c r="B38" s="23">
        <v>1</v>
      </c>
      <c r="C38" s="23" t="s">
        <v>72</v>
      </c>
      <c r="D38" s="23">
        <v>1</v>
      </c>
      <c r="E38" s="23">
        <v>1</v>
      </c>
      <c r="F38" s="23">
        <v>1</v>
      </c>
      <c r="G38" s="23">
        <v>14</v>
      </c>
      <c r="H38" s="56">
        <v>1</v>
      </c>
      <c r="I38" s="56" t="s">
        <v>73</v>
      </c>
      <c r="J38" s="56">
        <v>1</v>
      </c>
      <c r="K38" s="56" t="s">
        <v>73</v>
      </c>
      <c r="L38" s="56">
        <v>1</v>
      </c>
      <c r="M38" s="73" t="s">
        <v>138</v>
      </c>
      <c r="N38" s="23">
        <v>1</v>
      </c>
      <c r="O38" s="23">
        <v>15</v>
      </c>
      <c r="P38" s="23"/>
      <c r="Q38" s="23"/>
      <c r="R38" s="23"/>
      <c r="S38" s="23"/>
      <c r="T38" s="23"/>
      <c r="U38" s="37"/>
      <c r="V38" s="23"/>
      <c r="W38" s="23"/>
      <c r="X38" s="23"/>
      <c r="Y38" s="23"/>
      <c r="Z38" s="23"/>
      <c r="AA38" s="23"/>
      <c r="AB38" s="46"/>
      <c r="AC38" s="46"/>
      <c r="AD38" s="46"/>
      <c r="AE38" s="46"/>
      <c r="AF38" s="46"/>
      <c r="AG38" s="46"/>
      <c r="AH38" s="22" t="s">
        <v>38</v>
      </c>
    </row>
    <row r="39" spans="1:35" ht="16" x14ac:dyDescent="0.2">
      <c r="A39" s="75" t="s">
        <v>116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37"/>
      <c r="V39" s="23"/>
      <c r="W39" s="23"/>
      <c r="X39" s="23"/>
      <c r="Y39" s="23"/>
      <c r="Z39" s="23"/>
      <c r="AA39" s="23"/>
      <c r="AB39" s="46">
        <v>1</v>
      </c>
      <c r="AC39" s="46" t="s">
        <v>117</v>
      </c>
      <c r="AD39" s="46"/>
      <c r="AE39" s="46"/>
      <c r="AF39" s="46"/>
      <c r="AG39" s="46"/>
      <c r="AH39" s="22" t="s">
        <v>38</v>
      </c>
    </row>
    <row r="40" spans="1:35" ht="16" x14ac:dyDescent="0.2">
      <c r="A40" s="75" t="s">
        <v>113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38"/>
      <c r="V40" s="24"/>
      <c r="W40" s="24"/>
      <c r="X40" s="24"/>
      <c r="Y40" s="24"/>
      <c r="Z40" s="24"/>
      <c r="AA40" s="24"/>
      <c r="AB40" s="72">
        <v>0</v>
      </c>
      <c r="AC40" s="48"/>
      <c r="AD40" s="72">
        <v>0</v>
      </c>
      <c r="AE40" s="48"/>
      <c r="AF40" s="25">
        <v>1</v>
      </c>
      <c r="AG40" s="48"/>
    </row>
    <row r="41" spans="1:35" ht="16" x14ac:dyDescent="0.2">
      <c r="A41" s="75" t="s">
        <v>118</v>
      </c>
      <c r="B41" s="23">
        <v>1</v>
      </c>
      <c r="C41" s="23">
        <v>0.1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>
        <v>1</v>
      </c>
      <c r="S41" s="23">
        <v>0.1</v>
      </c>
      <c r="T41" s="23"/>
      <c r="U41" s="37"/>
      <c r="V41" s="23"/>
      <c r="W41" s="23"/>
      <c r="X41" s="23"/>
      <c r="Y41" s="23"/>
      <c r="Z41" s="23"/>
      <c r="AA41" s="23"/>
      <c r="AB41" s="46"/>
      <c r="AC41" s="46"/>
      <c r="AD41" s="46"/>
      <c r="AE41" s="46"/>
      <c r="AF41" s="46"/>
      <c r="AG41" s="46"/>
      <c r="AH41" s="22" t="s">
        <v>38</v>
      </c>
    </row>
    <row r="42" spans="1:35" ht="44" x14ac:dyDescent="0.2">
      <c r="A42" s="74" t="s">
        <v>129</v>
      </c>
      <c r="B42" s="56">
        <v>1</v>
      </c>
      <c r="C42" s="56" t="s">
        <v>70</v>
      </c>
      <c r="D42" s="56">
        <v>1</v>
      </c>
      <c r="E42" s="56" t="s">
        <v>70</v>
      </c>
      <c r="F42" s="56">
        <v>1</v>
      </c>
      <c r="G42" s="56" t="s">
        <v>70</v>
      </c>
      <c r="H42" s="56">
        <v>1</v>
      </c>
      <c r="I42" s="56" t="s">
        <v>70</v>
      </c>
      <c r="J42" s="56">
        <v>1</v>
      </c>
      <c r="K42" s="56" t="s">
        <v>70</v>
      </c>
      <c r="L42" s="56">
        <v>1</v>
      </c>
      <c r="M42" s="56" t="s">
        <v>70</v>
      </c>
      <c r="N42" s="56">
        <v>1</v>
      </c>
      <c r="O42" s="56" t="s">
        <v>70</v>
      </c>
      <c r="P42" s="56">
        <v>1</v>
      </c>
      <c r="Q42" s="56" t="s">
        <v>70</v>
      </c>
      <c r="R42" s="56">
        <v>1</v>
      </c>
      <c r="S42" s="56" t="s">
        <v>70</v>
      </c>
      <c r="T42" s="56">
        <v>1</v>
      </c>
      <c r="U42" s="56" t="s">
        <v>70</v>
      </c>
      <c r="V42" s="56"/>
      <c r="W42" s="56" t="s">
        <v>70</v>
      </c>
      <c r="X42" s="56"/>
      <c r="Y42" s="56" t="s">
        <v>70</v>
      </c>
      <c r="Z42" s="56"/>
      <c r="AA42" s="56" t="s">
        <v>70</v>
      </c>
      <c r="AB42" s="56"/>
      <c r="AC42" s="56"/>
      <c r="AD42" s="56"/>
      <c r="AE42" s="56"/>
      <c r="AF42" s="56"/>
      <c r="AG42" s="56"/>
      <c r="AH42" s="58" t="s">
        <v>38</v>
      </c>
    </row>
    <row r="43" spans="1:35" s="59" customFormat="1" ht="64" x14ac:dyDescent="0.2">
      <c r="A43" s="74" t="s">
        <v>66</v>
      </c>
      <c r="B43" s="56">
        <v>1</v>
      </c>
      <c r="C43" s="56" t="s">
        <v>67</v>
      </c>
      <c r="D43" s="56">
        <v>1</v>
      </c>
      <c r="E43" s="56" t="s">
        <v>67</v>
      </c>
      <c r="F43" s="56">
        <v>1</v>
      </c>
      <c r="G43" s="56" t="s">
        <v>67</v>
      </c>
      <c r="H43" s="56">
        <v>1</v>
      </c>
      <c r="I43" s="56" t="s">
        <v>67</v>
      </c>
      <c r="J43" s="56">
        <v>1</v>
      </c>
      <c r="K43" s="56" t="s">
        <v>67</v>
      </c>
      <c r="L43" s="56">
        <v>1</v>
      </c>
      <c r="M43" s="56" t="s">
        <v>67</v>
      </c>
      <c r="N43" s="56">
        <v>1</v>
      </c>
      <c r="O43" s="56" t="s">
        <v>67</v>
      </c>
      <c r="P43" s="56">
        <v>1</v>
      </c>
      <c r="Q43" s="56" t="s">
        <v>67</v>
      </c>
      <c r="R43" s="56">
        <v>1</v>
      </c>
      <c r="S43" s="56" t="s">
        <v>67</v>
      </c>
      <c r="T43" s="56">
        <v>1</v>
      </c>
      <c r="U43" s="56" t="s">
        <v>67</v>
      </c>
      <c r="V43" s="56"/>
      <c r="W43" s="56" t="s">
        <v>67</v>
      </c>
      <c r="X43" s="56"/>
      <c r="Y43" s="56" t="s">
        <v>67</v>
      </c>
      <c r="Z43" s="56"/>
      <c r="AA43" s="56" t="s">
        <v>67</v>
      </c>
      <c r="AB43" s="56"/>
      <c r="AC43" s="56"/>
      <c r="AD43" s="56"/>
      <c r="AE43" s="56"/>
      <c r="AF43" s="56"/>
      <c r="AG43" s="56"/>
      <c r="AH43" s="58" t="s">
        <v>38</v>
      </c>
      <c r="AI43" s="58"/>
    </row>
    <row r="44" spans="1:35" s="59" customFormat="1" ht="16" x14ac:dyDescent="0.2">
      <c r="A44" s="75" t="s">
        <v>111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3"/>
      <c r="V44" s="42"/>
      <c r="W44" s="42"/>
      <c r="X44" s="42"/>
      <c r="Y44" s="42"/>
      <c r="Z44" s="42"/>
      <c r="AA44" s="42"/>
      <c r="AB44" s="49"/>
      <c r="AC44" s="49"/>
      <c r="AD44" s="49"/>
      <c r="AE44" s="49"/>
      <c r="AF44" s="25">
        <v>1</v>
      </c>
      <c r="AG44" s="49"/>
      <c r="AH44" s="22"/>
      <c r="AI44" s="58"/>
    </row>
    <row r="45" spans="1:35" ht="16" x14ac:dyDescent="0.2">
      <c r="A45" s="75" t="s">
        <v>78</v>
      </c>
      <c r="B45" s="24">
        <v>1</v>
      </c>
      <c r="C45" s="24"/>
      <c r="D45" s="24">
        <v>1</v>
      </c>
      <c r="E45" s="24"/>
      <c r="F45" s="24">
        <v>1</v>
      </c>
      <c r="G45" s="24"/>
      <c r="H45" s="24">
        <v>1</v>
      </c>
      <c r="I45" s="24"/>
      <c r="J45" s="24">
        <v>1</v>
      </c>
      <c r="K45" s="24"/>
      <c r="L45" s="24">
        <v>1</v>
      </c>
      <c r="M45" s="24"/>
      <c r="N45" s="24">
        <v>1</v>
      </c>
      <c r="O45" s="24"/>
      <c r="P45" s="24">
        <v>1</v>
      </c>
      <c r="Q45" s="24"/>
      <c r="R45" s="24">
        <v>1</v>
      </c>
      <c r="S45" s="24"/>
      <c r="T45" s="24">
        <v>1</v>
      </c>
      <c r="U45" s="38"/>
      <c r="V45" s="24">
        <v>1</v>
      </c>
      <c r="W45" s="24"/>
      <c r="X45" s="24">
        <v>1</v>
      </c>
      <c r="Y45" s="24"/>
      <c r="Z45" s="24">
        <v>1</v>
      </c>
      <c r="AA45" s="24"/>
      <c r="AB45" s="48">
        <v>1</v>
      </c>
      <c r="AC45" s="48"/>
      <c r="AD45" s="48">
        <v>1</v>
      </c>
      <c r="AE45" s="48"/>
      <c r="AF45" s="48">
        <v>1</v>
      </c>
      <c r="AG45" s="48"/>
    </row>
    <row r="46" spans="1:35" ht="16.25" customHeight="1" x14ac:dyDescent="0.2">
      <c r="A46" s="74" t="s">
        <v>96</v>
      </c>
      <c r="B46" s="56">
        <v>1</v>
      </c>
      <c r="C46" s="56" t="s">
        <v>70</v>
      </c>
      <c r="D46" s="70">
        <v>0</v>
      </c>
      <c r="E46" s="46"/>
      <c r="F46" s="70">
        <v>0</v>
      </c>
      <c r="G46" s="46"/>
      <c r="H46" s="70">
        <v>0</v>
      </c>
      <c r="I46" s="46"/>
      <c r="J46" s="70">
        <v>0</v>
      </c>
      <c r="K46" s="56"/>
      <c r="L46" s="70">
        <v>0</v>
      </c>
      <c r="M46" s="56"/>
      <c r="N46" s="70">
        <v>0</v>
      </c>
      <c r="O46" s="56"/>
      <c r="P46" s="70">
        <v>0</v>
      </c>
      <c r="Q46" s="56"/>
      <c r="R46" s="56">
        <v>1</v>
      </c>
      <c r="S46" s="56" t="s">
        <v>70</v>
      </c>
      <c r="T46" s="70">
        <v>0</v>
      </c>
      <c r="U46" s="57"/>
      <c r="V46" s="70">
        <v>0</v>
      </c>
      <c r="W46" s="56"/>
      <c r="X46" s="70">
        <v>0</v>
      </c>
      <c r="Y46" s="56"/>
      <c r="Z46" s="56"/>
      <c r="AA46" s="56"/>
      <c r="AB46" s="56"/>
      <c r="AC46" s="56"/>
      <c r="AD46" s="56"/>
      <c r="AE46" s="56"/>
      <c r="AF46" s="56"/>
      <c r="AG46" s="56"/>
      <c r="AH46" s="58"/>
    </row>
    <row r="47" spans="1:35" ht="16" x14ac:dyDescent="0.2">
      <c r="A47" s="75" t="s">
        <v>76</v>
      </c>
      <c r="B47" s="24">
        <v>1</v>
      </c>
      <c r="C47" s="24"/>
      <c r="D47" s="24">
        <v>1</v>
      </c>
      <c r="E47" s="24"/>
      <c r="F47" s="24">
        <v>1</v>
      </c>
      <c r="G47" s="24"/>
      <c r="H47" s="24">
        <v>1</v>
      </c>
      <c r="I47" s="24"/>
      <c r="J47" s="24">
        <v>1</v>
      </c>
      <c r="K47" s="24"/>
      <c r="L47" s="24">
        <v>1</v>
      </c>
      <c r="M47" s="24"/>
      <c r="N47" s="24">
        <v>1</v>
      </c>
      <c r="O47" s="24"/>
      <c r="P47" s="24">
        <v>1</v>
      </c>
      <c r="Q47" s="24"/>
      <c r="R47" s="24">
        <v>1</v>
      </c>
      <c r="S47" s="24"/>
      <c r="T47" s="24">
        <v>1</v>
      </c>
      <c r="U47" s="38"/>
      <c r="V47" s="24">
        <v>1</v>
      </c>
      <c r="W47" s="24"/>
      <c r="X47" s="24">
        <v>1</v>
      </c>
      <c r="Y47" s="24"/>
      <c r="Z47" s="24">
        <v>1</v>
      </c>
      <c r="AA47" s="24"/>
      <c r="AB47" s="48">
        <v>1</v>
      </c>
      <c r="AC47" s="48"/>
      <c r="AD47" s="48">
        <v>1</v>
      </c>
      <c r="AE47" s="48"/>
      <c r="AF47" s="48">
        <v>1</v>
      </c>
      <c r="AG47" s="48"/>
    </row>
    <row r="48" spans="1:35" ht="16" x14ac:dyDescent="0.2">
      <c r="A48" s="74" t="s">
        <v>95</v>
      </c>
      <c r="B48" s="56"/>
      <c r="C48" s="56"/>
      <c r="D48" s="56">
        <v>1</v>
      </c>
      <c r="E48" s="56" t="s">
        <v>70</v>
      </c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7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8" t="s">
        <v>39</v>
      </c>
    </row>
    <row r="49" spans="1:35" ht="16" x14ac:dyDescent="0.2">
      <c r="A49" s="74" t="s">
        <v>62</v>
      </c>
      <c r="B49" s="56">
        <v>1</v>
      </c>
      <c r="C49" s="56" t="s">
        <v>50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37"/>
      <c r="V49" s="23"/>
      <c r="W49" s="23"/>
      <c r="X49" s="23"/>
      <c r="Y49" s="23"/>
      <c r="Z49" s="23"/>
      <c r="AA49" s="23"/>
      <c r="AB49" s="46"/>
      <c r="AC49" s="46"/>
      <c r="AD49" s="46"/>
      <c r="AE49" s="46"/>
      <c r="AF49" s="46"/>
      <c r="AG49" s="46"/>
    </row>
    <row r="50" spans="1:35" ht="32" x14ac:dyDescent="0.2">
      <c r="A50" s="75" t="s">
        <v>63</v>
      </c>
      <c r="B50" s="24">
        <v>1</v>
      </c>
      <c r="C50" s="24"/>
      <c r="D50" s="24">
        <v>1</v>
      </c>
      <c r="E50" s="24"/>
      <c r="F50" s="24">
        <v>1</v>
      </c>
      <c r="G50" s="24"/>
      <c r="H50" s="24">
        <v>1</v>
      </c>
      <c r="I50" s="24"/>
      <c r="J50" s="24">
        <v>1</v>
      </c>
      <c r="K50" s="24"/>
      <c r="L50" s="24">
        <v>1</v>
      </c>
      <c r="M50" s="24"/>
      <c r="N50" s="24">
        <v>1</v>
      </c>
      <c r="O50" s="24"/>
      <c r="P50" s="24">
        <v>1</v>
      </c>
      <c r="Q50" s="24"/>
      <c r="R50" s="24">
        <v>1</v>
      </c>
      <c r="S50" s="24"/>
      <c r="T50" s="24">
        <v>1</v>
      </c>
      <c r="U50" s="38"/>
      <c r="V50" s="24"/>
      <c r="W50" s="24"/>
      <c r="X50" s="24"/>
      <c r="Y50" s="24"/>
      <c r="Z50" s="24"/>
      <c r="AA50" s="24"/>
      <c r="AB50" s="48"/>
      <c r="AC50" s="48"/>
      <c r="AD50" s="48"/>
      <c r="AE50" s="48"/>
      <c r="AF50" s="48"/>
      <c r="AG50" s="48"/>
    </row>
    <row r="51" spans="1:35" ht="16" x14ac:dyDescent="0.2">
      <c r="A51" s="74" t="s">
        <v>107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>
        <v>1</v>
      </c>
      <c r="S51" s="56" t="s">
        <v>108</v>
      </c>
      <c r="T51" s="56">
        <v>1</v>
      </c>
      <c r="U51" s="56" t="s">
        <v>108</v>
      </c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8" t="s">
        <v>38</v>
      </c>
    </row>
    <row r="52" spans="1:35" ht="16" x14ac:dyDescent="0.2">
      <c r="A52" s="75" t="s">
        <v>115</v>
      </c>
      <c r="B52" s="25">
        <v>1</v>
      </c>
      <c r="C52" s="25"/>
      <c r="D52" s="25">
        <v>1</v>
      </c>
      <c r="E52" s="25"/>
      <c r="F52" s="25">
        <v>1</v>
      </c>
      <c r="G52" s="25"/>
      <c r="H52" s="25">
        <v>1</v>
      </c>
      <c r="I52" s="25"/>
      <c r="J52" s="25">
        <v>1</v>
      </c>
      <c r="K52" s="25"/>
      <c r="L52" s="25">
        <v>1</v>
      </c>
      <c r="M52" s="25"/>
      <c r="N52" s="25">
        <v>1</v>
      </c>
      <c r="O52" s="25"/>
      <c r="P52" s="25">
        <v>1</v>
      </c>
      <c r="Q52" s="25"/>
      <c r="R52" s="25">
        <v>1</v>
      </c>
      <c r="S52" s="25"/>
      <c r="T52" s="25">
        <v>1</v>
      </c>
      <c r="U52" s="40"/>
      <c r="V52" s="25">
        <v>1</v>
      </c>
      <c r="W52" s="25"/>
      <c r="X52" s="25">
        <v>1</v>
      </c>
      <c r="Y52" s="25"/>
      <c r="Z52" s="25">
        <v>1</v>
      </c>
      <c r="AA52" s="25"/>
      <c r="AB52" s="50">
        <v>1</v>
      </c>
      <c r="AC52" s="50"/>
      <c r="AD52" s="50">
        <v>1</v>
      </c>
      <c r="AE52" s="50"/>
      <c r="AF52" s="50">
        <v>1</v>
      </c>
      <c r="AG52" s="50"/>
    </row>
    <row r="53" spans="1:35" s="59" customFormat="1" ht="32" x14ac:dyDescent="0.2">
      <c r="A53" s="75" t="s">
        <v>109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37"/>
      <c r="V53" s="23"/>
      <c r="W53" s="23"/>
      <c r="X53" s="23"/>
      <c r="Y53" s="23"/>
      <c r="Z53" s="23"/>
      <c r="AA53" s="23"/>
      <c r="AB53" s="46"/>
      <c r="AC53" s="46"/>
      <c r="AD53" s="46">
        <v>1</v>
      </c>
      <c r="AE53" s="46" t="s">
        <v>110</v>
      </c>
      <c r="AF53" s="46"/>
      <c r="AG53" s="46"/>
      <c r="AH53" s="22" t="s">
        <v>38</v>
      </c>
      <c r="AI53" s="58"/>
    </row>
    <row r="54" spans="1:35" ht="32" x14ac:dyDescent="0.2">
      <c r="A54" s="74" t="s">
        <v>77</v>
      </c>
      <c r="B54" s="56">
        <v>1</v>
      </c>
      <c r="C54" s="56"/>
      <c r="D54" s="56"/>
      <c r="E54" s="56"/>
      <c r="F54" s="56"/>
      <c r="G54" s="56"/>
      <c r="H54" s="56"/>
      <c r="I54" s="56"/>
      <c r="J54" s="56"/>
      <c r="K54" s="56"/>
      <c r="L54" s="56">
        <v>1</v>
      </c>
      <c r="M54" s="56" t="s">
        <v>74</v>
      </c>
      <c r="N54" s="56">
        <v>1</v>
      </c>
      <c r="O54" s="56"/>
      <c r="P54" s="56">
        <v>1</v>
      </c>
      <c r="Q54" s="56"/>
      <c r="R54" s="56">
        <v>1</v>
      </c>
      <c r="S54" s="56"/>
      <c r="T54" s="56">
        <v>1</v>
      </c>
      <c r="U54" s="57"/>
      <c r="V54" s="56"/>
      <c r="W54" s="56"/>
      <c r="X54" s="56"/>
      <c r="Y54" s="56"/>
      <c r="Z54" s="56"/>
      <c r="AA54" s="56"/>
      <c r="AB54" s="56">
        <v>1</v>
      </c>
      <c r="AC54" s="56"/>
      <c r="AD54" s="56">
        <v>1</v>
      </c>
      <c r="AE54" s="56"/>
      <c r="AF54" s="56">
        <v>1</v>
      </c>
      <c r="AG54" s="56"/>
      <c r="AH54" s="58" t="s">
        <v>39</v>
      </c>
    </row>
    <row r="55" spans="1:35" ht="32" x14ac:dyDescent="0.2">
      <c r="A55" s="74" t="s">
        <v>81</v>
      </c>
      <c r="B55" s="56">
        <v>1</v>
      </c>
      <c r="C55" s="56"/>
      <c r="D55" s="56"/>
      <c r="E55" s="56"/>
      <c r="F55" s="56"/>
      <c r="G55" s="56"/>
      <c r="H55" s="56"/>
      <c r="I55" s="56"/>
      <c r="J55" s="56"/>
      <c r="K55" s="56"/>
      <c r="L55" s="56">
        <v>1</v>
      </c>
      <c r="M55" s="56" t="s">
        <v>74</v>
      </c>
      <c r="N55" s="56">
        <v>1</v>
      </c>
      <c r="O55" s="56"/>
      <c r="P55" s="56">
        <v>1</v>
      </c>
      <c r="Q55" s="56"/>
      <c r="R55" s="56">
        <v>1</v>
      </c>
      <c r="S55" s="56"/>
      <c r="T55" s="56">
        <v>1</v>
      </c>
      <c r="U55" s="57"/>
      <c r="V55" s="56"/>
      <c r="W55" s="56"/>
      <c r="X55" s="56"/>
      <c r="Y55" s="56"/>
      <c r="Z55" s="56"/>
      <c r="AA55" s="56"/>
      <c r="AB55" s="56">
        <v>1</v>
      </c>
      <c r="AC55" s="56"/>
      <c r="AD55" s="56"/>
      <c r="AE55" s="56"/>
      <c r="AF55" s="56"/>
      <c r="AG55" s="56"/>
      <c r="AH55" s="58" t="s">
        <v>39</v>
      </c>
    </row>
    <row r="56" spans="1:35" ht="33" thickBot="1" x14ac:dyDescent="0.25">
      <c r="A56" s="84" t="s">
        <v>79</v>
      </c>
      <c r="B56" s="79">
        <v>1</v>
      </c>
      <c r="C56" s="80"/>
      <c r="D56" s="81">
        <v>0</v>
      </c>
      <c r="E56" s="80"/>
      <c r="F56" s="81">
        <v>0</v>
      </c>
      <c r="G56" s="80"/>
      <c r="H56" s="81">
        <v>0</v>
      </c>
      <c r="I56" s="80"/>
      <c r="J56" s="81">
        <v>0</v>
      </c>
      <c r="K56" s="80"/>
      <c r="L56" s="79">
        <v>1</v>
      </c>
      <c r="M56" s="79" t="s">
        <v>74</v>
      </c>
      <c r="N56" s="79">
        <v>1</v>
      </c>
      <c r="O56" s="80"/>
      <c r="P56" s="79">
        <v>1</v>
      </c>
      <c r="Q56" s="80"/>
      <c r="R56" s="79">
        <v>1</v>
      </c>
      <c r="S56" s="80"/>
      <c r="T56" s="79">
        <v>1</v>
      </c>
      <c r="U56" s="82"/>
      <c r="V56" s="80">
        <v>1</v>
      </c>
      <c r="W56" s="80"/>
      <c r="X56" s="80">
        <v>1</v>
      </c>
      <c r="Y56" s="80"/>
      <c r="Z56" s="80"/>
      <c r="AA56" s="80"/>
      <c r="AB56" s="79">
        <v>1</v>
      </c>
      <c r="AC56" s="80" t="s">
        <v>80</v>
      </c>
      <c r="AD56" s="80"/>
      <c r="AE56" s="80"/>
      <c r="AF56" s="80"/>
      <c r="AG56" s="80"/>
      <c r="AH56" s="68" t="s">
        <v>39</v>
      </c>
    </row>
    <row r="57" spans="1:35" s="3" customFormat="1" ht="16" thickBot="1" x14ac:dyDescent="0.25">
      <c r="A57" s="26"/>
      <c r="B57" s="27">
        <f>SUM(B2:B56)</f>
        <v>37</v>
      </c>
      <c r="C57" s="27"/>
      <c r="D57" s="28">
        <f>SUM(D2:D56)</f>
        <v>28</v>
      </c>
      <c r="E57" s="28"/>
      <c r="F57" s="28">
        <f>SUM(F2:F56)</f>
        <v>22</v>
      </c>
      <c r="G57" s="28"/>
      <c r="H57" s="28">
        <f>SUM(H2:H56)</f>
        <v>26</v>
      </c>
      <c r="I57" s="28"/>
      <c r="J57" s="28">
        <f>SUM(J2:J56)</f>
        <v>23</v>
      </c>
      <c r="K57" s="28"/>
      <c r="L57" s="28">
        <f>SUM(L2:L56)</f>
        <v>27</v>
      </c>
      <c r="M57" s="28"/>
      <c r="N57" s="28">
        <f>SUM(N2:N56)</f>
        <v>32</v>
      </c>
      <c r="O57" s="28"/>
      <c r="P57" s="28">
        <f>SUM(P2:P56)</f>
        <v>30</v>
      </c>
      <c r="Q57" s="28"/>
      <c r="R57" s="28">
        <f>SUM(R2:R56)</f>
        <v>37</v>
      </c>
      <c r="S57" s="28"/>
      <c r="T57" s="28">
        <f>SUM(T2:T56)</f>
        <v>33</v>
      </c>
      <c r="U57" s="41"/>
      <c r="V57" s="28">
        <f>SUM(V2:V56)</f>
        <v>13</v>
      </c>
      <c r="W57" s="28"/>
      <c r="X57" s="28">
        <f>SUM(X2:X56)</f>
        <v>13</v>
      </c>
      <c r="Y57" s="28"/>
      <c r="Z57" s="28">
        <f>SUM(Z2:Z56)</f>
        <v>11</v>
      </c>
      <c r="AA57" s="28"/>
      <c r="AB57" s="51">
        <f>SUM(AB2:AB56)</f>
        <v>15</v>
      </c>
      <c r="AC57" s="51"/>
      <c r="AD57" s="51">
        <f>SUM(AD2:AD56)</f>
        <v>12</v>
      </c>
      <c r="AE57" s="52"/>
      <c r="AF57" s="53">
        <f>SUM(AF2:AF56)</f>
        <v>14</v>
      </c>
      <c r="AG57" s="54"/>
      <c r="AH57" s="29"/>
      <c r="AI57" s="29"/>
    </row>
    <row r="60" spans="1:35" ht="16" thickBot="1" x14ac:dyDescent="0.25"/>
    <row r="61" spans="1:35" ht="16" x14ac:dyDescent="0.2">
      <c r="A61" s="31" t="s">
        <v>41</v>
      </c>
      <c r="B61" s="32"/>
    </row>
    <row r="62" spans="1:35" ht="16" x14ac:dyDescent="0.2">
      <c r="A62" s="33" t="s">
        <v>24</v>
      </c>
      <c r="B62" s="34"/>
      <c r="C62" s="22"/>
    </row>
    <row r="63" spans="1:35" ht="17" thickBot="1" x14ac:dyDescent="0.25">
      <c r="A63" s="35" t="s">
        <v>25</v>
      </c>
      <c r="B63" s="36"/>
      <c r="C63" s="22"/>
    </row>
    <row r="64" spans="1:35" ht="16" customHeight="1" x14ac:dyDescent="0.2">
      <c r="A64" s="21" t="s">
        <v>135</v>
      </c>
      <c r="B64" s="86" t="s">
        <v>131</v>
      </c>
      <c r="C64" s="87"/>
      <c r="D64" s="88" t="s">
        <v>139</v>
      </c>
      <c r="E64" s="88"/>
      <c r="F64" s="88"/>
      <c r="G64" s="88"/>
      <c r="H64" s="88"/>
      <c r="I64" s="88"/>
      <c r="J64" s="88"/>
      <c r="K64" s="88"/>
    </row>
    <row r="65" spans="1:2" ht="16" x14ac:dyDescent="0.2">
      <c r="A65" s="22" t="s">
        <v>136</v>
      </c>
      <c r="B65" s="30">
        <v>1</v>
      </c>
    </row>
    <row r="66" spans="1:2" ht="16" x14ac:dyDescent="0.2">
      <c r="A66" s="22" t="s">
        <v>137</v>
      </c>
      <c r="B66" s="70">
        <v>0</v>
      </c>
    </row>
  </sheetData>
  <autoFilter ref="A1:AH49" xr:uid="{00000000-0001-0000-0100-000000000000}">
    <sortState xmlns:xlrd2="http://schemas.microsoft.com/office/spreadsheetml/2017/richdata2" ref="A2:AH57">
      <sortCondition ref="A1:A57"/>
    </sortState>
  </autoFilter>
  <mergeCells count="2">
    <mergeCell ref="B64:C64"/>
    <mergeCell ref="D64:K64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PROD_posel</vt:lpstr>
      <vt:lpstr>PROD_podposel</vt:lpstr>
      <vt:lpstr>List1</vt:lpstr>
    </vt:vector>
  </TitlesOfParts>
  <Company>MJU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Maričič</dc:creator>
  <cp:lastModifiedBy>Primoz Skledar</cp:lastModifiedBy>
  <dcterms:created xsi:type="dcterms:W3CDTF">2023-03-24T12:15:46Z</dcterms:created>
  <dcterms:modified xsi:type="dcterms:W3CDTF">2026-01-15T11:34:01Z</dcterms:modified>
</cp:coreProperties>
</file>